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plackett\"/>
    </mc:Choice>
  </mc:AlternateContent>
  <xr:revisionPtr revIDLastSave="0" documentId="13_ncr:1_{BAED38C4-C731-426B-8D58-36EDF0AD0279}" xr6:coauthVersionLast="47" xr6:coauthVersionMax="47" xr10:uidLastSave="{00000000-0000-0000-0000-000000000000}"/>
  <bookViews>
    <workbookView xWindow="-98" yWindow="-98" windowWidth="22276" windowHeight="13996" xr2:uid="{AB3A62A4-5861-49CD-9E41-6EE096DB294B}"/>
  </bookViews>
  <sheets>
    <sheet name="Sheet1" sheetId="1" r:id="rId1"/>
  </sheets>
  <definedNames>
    <definedName name="theta">Sheet1!$C$2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7" i="1" l="1" a="1"/>
  <c r="M27" i="1" a="1"/>
  <c r="L27" i="1" a="1"/>
  <c r="K27" i="1" a="1"/>
  <c r="J27" i="1" a="1"/>
  <c r="I27" i="1" a="1"/>
  <c r="H27" i="1" a="1"/>
  <c r="G27" i="1" a="1"/>
  <c r="F27" i="1" a="1"/>
  <c r="E27" i="1" a="1"/>
  <c r="D27" i="1" a="1"/>
  <c r="N26" i="1" a="1"/>
  <c r="M26" i="1" a="1"/>
  <c r="L26" i="1" a="1"/>
  <c r="K26" i="1" a="1"/>
  <c r="J26" i="1" a="1"/>
  <c r="I26" i="1" a="1"/>
  <c r="H26" i="1" a="1"/>
  <c r="G26" i="1" a="1"/>
  <c r="F26" i="1" a="1"/>
  <c r="E26" i="1" a="1"/>
  <c r="D26" i="1" a="1"/>
  <c r="N25" i="1" a="1"/>
  <c r="M25" i="1" a="1"/>
  <c r="L25" i="1" a="1"/>
  <c r="K25" i="1" a="1"/>
  <c r="J25" i="1" a="1"/>
  <c r="I25" i="1" a="1"/>
  <c r="H25" i="1" a="1"/>
  <c r="G25" i="1" a="1"/>
  <c r="F25" i="1" a="1"/>
  <c r="E25" i="1" a="1"/>
  <c r="D25" i="1" a="1"/>
  <c r="N24" i="1" a="1"/>
  <c r="M24" i="1" a="1"/>
  <c r="L24" i="1" a="1"/>
  <c r="K24" i="1" a="1"/>
  <c r="J24" i="1" a="1"/>
  <c r="I24" i="1" a="1"/>
  <c r="H24" i="1" a="1"/>
  <c r="G24" i="1" a="1"/>
  <c r="F24" i="1" a="1"/>
  <c r="E24" i="1" a="1"/>
  <c r="D24" i="1" a="1"/>
  <c r="N23" i="1" a="1"/>
  <c r="M23" i="1" a="1"/>
  <c r="L23" i="1" a="1"/>
  <c r="K23" i="1" a="1"/>
  <c r="J23" i="1" a="1"/>
  <c r="I23" i="1" a="1"/>
  <c r="H23" i="1" a="1"/>
  <c r="G23" i="1" a="1"/>
  <c r="F23" i="1" a="1"/>
  <c r="E23" i="1" a="1"/>
  <c r="D23" i="1" a="1"/>
  <c r="N22" i="1" a="1"/>
  <c r="M22" i="1" a="1"/>
  <c r="L22" i="1" a="1"/>
  <c r="K22" i="1" a="1"/>
  <c r="J22" i="1" a="1"/>
  <c r="I22" i="1" a="1"/>
  <c r="H22" i="1" a="1"/>
  <c r="G22" i="1" a="1"/>
  <c r="F22" i="1" a="1"/>
  <c r="E22" i="1" a="1"/>
  <c r="D22" i="1" a="1"/>
  <c r="N21" i="1" a="1"/>
  <c r="M21" i="1" a="1"/>
  <c r="L21" i="1" a="1"/>
  <c r="K21" i="1" a="1"/>
  <c r="J21" i="1" a="1"/>
  <c r="I21" i="1" a="1"/>
  <c r="H21" i="1" a="1"/>
  <c r="G21" i="1" a="1"/>
  <c r="F21" i="1" a="1"/>
  <c r="E21" i="1" a="1"/>
  <c r="D21" i="1" a="1"/>
  <c r="N20" i="1" a="1"/>
  <c r="M20" i="1" a="1"/>
  <c r="L20" i="1" a="1"/>
  <c r="K20" i="1" a="1"/>
  <c r="J20" i="1" a="1"/>
  <c r="I20" i="1" a="1"/>
  <c r="H20" i="1" a="1"/>
  <c r="G20" i="1" a="1"/>
  <c r="F20" i="1" a="1"/>
  <c r="E20" i="1" a="1"/>
  <c r="D20" i="1" a="1"/>
  <c r="N19" i="1" a="1"/>
  <c r="M19" i="1" a="1"/>
  <c r="L19" i="1" a="1"/>
  <c r="K19" i="1" a="1"/>
  <c r="J19" i="1" a="1"/>
  <c r="I19" i="1" a="1"/>
  <c r="H19" i="1" a="1"/>
  <c r="G19" i="1" a="1"/>
  <c r="F19" i="1" a="1"/>
  <c r="E19" i="1" a="1"/>
  <c r="D19" i="1" a="1"/>
  <c r="N18" i="1" a="1"/>
  <c r="M18" i="1" a="1"/>
  <c r="L18" i="1" a="1"/>
  <c r="K18" i="1" a="1"/>
  <c r="J18" i="1" a="1"/>
  <c r="I18" i="1" a="1"/>
  <c r="H18" i="1" a="1"/>
  <c r="G18" i="1" a="1"/>
  <c r="F18" i="1" a="1"/>
  <c r="E18" i="1" a="1"/>
  <c r="D18" i="1" a="1"/>
  <c r="N17" i="1" a="1"/>
  <c r="M17" i="1" a="1"/>
  <c r="L17" i="1" a="1"/>
  <c r="K17" i="1" a="1"/>
  <c r="J17" i="1" a="1"/>
  <c r="I17" i="1" a="1"/>
  <c r="H17" i="1" a="1"/>
  <c r="G17" i="1" a="1"/>
  <c r="F17" i="1" a="1"/>
  <c r="E17" i="1" a="1"/>
  <c r="D17" i="1" a="1"/>
  <c r="N14" i="1" a="1"/>
  <c r="H8" i="1" a="1"/>
  <c r="N10" i="1" a="1"/>
  <c r="F9" i="1" a="1"/>
  <c r="E9" i="1" a="1"/>
  <c r="J11" i="1" a="1"/>
  <c r="D5" i="1" a="1"/>
  <c r="E14" i="1" a="1"/>
  <c r="D8" i="1" a="1"/>
  <c r="I8" i="1" a="1"/>
  <c r="D4" i="1" a="1"/>
  <c r="M9" i="1" a="1"/>
  <c r="J8" i="1" a="1"/>
  <c r="I4" i="1" a="1"/>
  <c r="N6" i="1" a="1"/>
  <c r="L13" i="1" a="1"/>
  <c r="G11" i="1" a="1"/>
  <c r="K6" i="1" a="1"/>
  <c r="F5" i="1" a="1"/>
  <c r="M11" i="1" a="1"/>
  <c r="H14" i="1" a="1"/>
  <c r="M13" i="1" a="1"/>
  <c r="G7" i="1" a="1"/>
  <c r="E7" i="1" a="1"/>
  <c r="D7" i="1" a="1"/>
  <c r="I7" i="1" a="1"/>
  <c r="I10" i="1" a="1"/>
  <c r="L14" i="1" a="1"/>
  <c r="H11" i="1" a="1"/>
  <c r="M5" i="1" a="1"/>
  <c r="D14" i="1" a="1"/>
  <c r="L11" i="1" a="1"/>
  <c r="N11" i="1" a="1"/>
  <c r="J9" i="1" a="1"/>
  <c r="L10" i="1" a="1"/>
  <c r="G13" i="1" a="1"/>
  <c r="L6" i="1" a="1"/>
  <c r="J6" i="1" a="1"/>
  <c r="N5" i="1" a="1"/>
  <c r="H6" i="1" a="1"/>
  <c r="N9" i="1" a="1"/>
  <c r="J12" i="1" a="1"/>
  <c r="L9" i="1" a="1"/>
  <c r="L4" i="1" a="1"/>
  <c r="E10" i="1" a="1"/>
  <c r="F4" i="1" a="1"/>
  <c r="H10" i="1" a="1"/>
  <c r="N13" i="1" a="1"/>
  <c r="M12" i="1" a="1"/>
  <c r="L5" i="1" a="1"/>
  <c r="F7" i="1" a="1"/>
  <c r="K7" i="1" a="1"/>
  <c r="L12" i="1" a="1"/>
  <c r="F6" i="1" a="1"/>
  <c r="I5" i="1" a="1"/>
  <c r="H5" i="1" a="1"/>
  <c r="G5" i="1" a="1"/>
  <c r="H9" i="1" a="1"/>
  <c r="I11" i="1" a="1"/>
  <c r="K8" i="1" a="1"/>
  <c r="I14" i="1" a="1"/>
  <c r="M6" i="1" a="1"/>
  <c r="K5" i="1" a="1"/>
  <c r="H4" i="1" a="1"/>
  <c r="G4" i="1" a="1"/>
  <c r="M8" i="1" a="1"/>
  <c r="J7" i="1" a="1"/>
  <c r="F12" i="1" a="1"/>
  <c r="K11" i="1" a="1"/>
  <c r="E5" i="1" a="1"/>
  <c r="K14" i="1" a="1"/>
  <c r="J14" i="1" a="1"/>
  <c r="M14" i="1" a="1"/>
  <c r="G8" i="1" a="1"/>
  <c r="G9" i="1" a="1"/>
  <c r="I6" i="1" a="1"/>
  <c r="K10" i="1" a="1"/>
  <c r="D9" i="1" a="1"/>
  <c r="J4" i="1" a="1"/>
  <c r="D13" i="1" a="1"/>
  <c r="N12" i="1" a="1"/>
  <c r="G14" i="1" a="1"/>
  <c r="L7" i="1" a="1"/>
  <c r="L8" i="1" a="1"/>
  <c r="M4" i="1" a="1"/>
  <c r="H7" i="1" a="1"/>
  <c r="F14" i="1" a="1"/>
  <c r="I12" i="1" a="1"/>
  <c r="H12" i="1" a="1"/>
  <c r="F8" i="1" a="1"/>
  <c r="E4" i="1" a="1"/>
  <c r="K13" i="1" a="1"/>
  <c r="F13" i="1" a="1"/>
  <c r="I13" i="1" a="1"/>
  <c r="E13" i="1" a="1"/>
  <c r="K12" i="1" a="1"/>
  <c r="D6" i="1" a="1"/>
  <c r="N7" i="1" a="1"/>
  <c r="E11" i="1" a="1"/>
  <c r="J10" i="1" a="1"/>
  <c r="D10" i="1" a="1"/>
  <c r="I9" i="1" a="1"/>
  <c r="N8" i="1" a="1"/>
  <c r="D12" i="1" a="1"/>
  <c r="G10" i="1" a="1"/>
  <c r="K9" i="1" a="1"/>
  <c r="E12" i="1" a="1"/>
  <c r="J5" i="1" a="1"/>
  <c r="N4" i="1" a="1"/>
  <c r="F10" i="1" a="1"/>
  <c r="G12" i="1" a="1"/>
  <c r="K4" i="1" a="1"/>
  <c r="M7" i="1" a="1"/>
  <c r="E8" i="1" a="1"/>
  <c r="D11" i="1" a="1"/>
  <c r="J13" i="1" a="1"/>
  <c r="F11" i="1" a="1"/>
  <c r="H13" i="1" a="1"/>
  <c r="M10" i="1" a="1"/>
  <c r="E6" i="1" a="1"/>
  <c r="G6" i="1" a="1"/>
  <c r="N27" i="1" l="1"/>
  <c r="M27" i="1"/>
  <c r="L27" i="1"/>
  <c r="K27" i="1"/>
  <c r="J27" i="1"/>
  <c r="I27" i="1"/>
  <c r="H27" i="1"/>
  <c r="G27" i="1"/>
  <c r="F27" i="1"/>
  <c r="E27" i="1"/>
  <c r="D27" i="1"/>
  <c r="N26" i="1"/>
  <c r="M26" i="1"/>
  <c r="L26" i="1"/>
  <c r="K26" i="1"/>
  <c r="J26" i="1"/>
  <c r="I26" i="1"/>
  <c r="H26" i="1"/>
  <c r="G26" i="1"/>
  <c r="F26" i="1"/>
  <c r="E26" i="1"/>
  <c r="D26" i="1"/>
  <c r="N25" i="1"/>
  <c r="M25" i="1"/>
  <c r="L25" i="1"/>
  <c r="K25" i="1"/>
  <c r="J25" i="1"/>
  <c r="I25" i="1"/>
  <c r="H25" i="1"/>
  <c r="G25" i="1"/>
  <c r="F25" i="1"/>
  <c r="E25" i="1"/>
  <c r="D25" i="1"/>
  <c r="N24" i="1"/>
  <c r="M24" i="1"/>
  <c r="L24" i="1"/>
  <c r="K24" i="1"/>
  <c r="J24" i="1"/>
  <c r="I24" i="1"/>
  <c r="H24" i="1"/>
  <c r="G24" i="1"/>
  <c r="F24" i="1"/>
  <c r="E24" i="1"/>
  <c r="D24" i="1"/>
  <c r="N23" i="1"/>
  <c r="M23" i="1"/>
  <c r="L23" i="1"/>
  <c r="K23" i="1"/>
  <c r="J23" i="1"/>
  <c r="I23" i="1"/>
  <c r="H23" i="1"/>
  <c r="G23" i="1"/>
  <c r="F23" i="1"/>
  <c r="E23" i="1"/>
  <c r="D23" i="1"/>
  <c r="N22" i="1"/>
  <c r="M22" i="1"/>
  <c r="L22" i="1"/>
  <c r="K22" i="1"/>
  <c r="J22" i="1"/>
  <c r="I22" i="1"/>
  <c r="H22" i="1"/>
  <c r="G22" i="1"/>
  <c r="F22" i="1"/>
  <c r="E22" i="1"/>
  <c r="D22" i="1"/>
  <c r="N21" i="1"/>
  <c r="M21" i="1"/>
  <c r="L21" i="1"/>
  <c r="K21" i="1"/>
  <c r="J21" i="1"/>
  <c r="I21" i="1"/>
  <c r="H21" i="1"/>
  <c r="G21" i="1"/>
  <c r="F21" i="1"/>
  <c r="E21" i="1"/>
  <c r="D21" i="1"/>
  <c r="N20" i="1"/>
  <c r="M20" i="1"/>
  <c r="L20" i="1"/>
  <c r="K20" i="1"/>
  <c r="J20" i="1"/>
  <c r="I20" i="1"/>
  <c r="H20" i="1"/>
  <c r="G20" i="1"/>
  <c r="F20" i="1"/>
  <c r="E20" i="1"/>
  <c r="D20" i="1"/>
  <c r="N19" i="1"/>
  <c r="M19" i="1"/>
  <c r="L19" i="1"/>
  <c r="K19" i="1"/>
  <c r="J19" i="1"/>
  <c r="I19" i="1"/>
  <c r="H19" i="1"/>
  <c r="G19" i="1"/>
  <c r="F19" i="1"/>
  <c r="E19" i="1"/>
  <c r="D19" i="1"/>
  <c r="N18" i="1"/>
  <c r="M18" i="1"/>
  <c r="L18" i="1"/>
  <c r="K18" i="1"/>
  <c r="J18" i="1"/>
  <c r="I18" i="1"/>
  <c r="H18" i="1"/>
  <c r="G18" i="1"/>
  <c r="F18" i="1"/>
  <c r="E18" i="1"/>
  <c r="D18" i="1"/>
  <c r="N17" i="1"/>
  <c r="M17" i="1"/>
  <c r="L17" i="1"/>
  <c r="K17" i="1"/>
  <c r="J17" i="1"/>
  <c r="I17" i="1"/>
  <c r="H17" i="1"/>
  <c r="G17" i="1"/>
  <c r="F17" i="1"/>
  <c r="E17" i="1"/>
  <c r="D17" i="1"/>
  <c r="G6" i="1"/>
  <c r="E6" i="1"/>
  <c r="M10" i="1"/>
  <c r="H13" i="1"/>
  <c r="F11" i="1"/>
  <c r="J13" i="1"/>
  <c r="D11" i="1"/>
  <c r="E8" i="1"/>
  <c r="M7" i="1"/>
  <c r="K4" i="1"/>
  <c r="G12" i="1"/>
  <c r="F10" i="1"/>
  <c r="N4" i="1"/>
  <c r="J5" i="1"/>
  <c r="E12" i="1"/>
  <c r="K9" i="1"/>
  <c r="G10" i="1"/>
  <c r="D12" i="1"/>
  <c r="N8" i="1"/>
  <c r="I9" i="1"/>
  <c r="D10" i="1"/>
  <c r="J10" i="1"/>
  <c r="E11" i="1"/>
  <c r="N7" i="1"/>
  <c r="D6" i="1"/>
  <c r="K12" i="1"/>
  <c r="E13" i="1"/>
  <c r="I13" i="1"/>
  <c r="F13" i="1"/>
  <c r="K13" i="1"/>
  <c r="E4" i="1"/>
  <c r="F8" i="1"/>
  <c r="H12" i="1"/>
  <c r="I12" i="1"/>
  <c r="F14" i="1"/>
  <c r="H7" i="1"/>
  <c r="M4" i="1"/>
  <c r="L8" i="1"/>
  <c r="L7" i="1"/>
  <c r="G14" i="1"/>
  <c r="N12" i="1"/>
  <c r="D13" i="1"/>
  <c r="J4" i="1"/>
  <c r="D9" i="1"/>
  <c r="K10" i="1"/>
  <c r="I6" i="1"/>
  <c r="G9" i="1"/>
  <c r="G8" i="1"/>
  <c r="M14" i="1"/>
  <c r="J14" i="1"/>
  <c r="K14" i="1"/>
  <c r="E5" i="1"/>
  <c r="K11" i="1"/>
  <c r="F12" i="1"/>
  <c r="J7" i="1"/>
  <c r="M8" i="1"/>
  <c r="G4" i="1"/>
  <c r="H4" i="1"/>
  <c r="K5" i="1"/>
  <c r="M6" i="1"/>
  <c r="I14" i="1"/>
  <c r="K8" i="1"/>
  <c r="I11" i="1"/>
  <c r="H9" i="1"/>
  <c r="G5" i="1"/>
  <c r="H5" i="1"/>
  <c r="I5" i="1"/>
  <c r="F6" i="1"/>
  <c r="L12" i="1"/>
  <c r="K7" i="1"/>
  <c r="F7" i="1"/>
  <c r="L5" i="1"/>
  <c r="M12" i="1"/>
  <c r="N13" i="1"/>
  <c r="H10" i="1"/>
  <c r="F4" i="1"/>
  <c r="E10" i="1"/>
  <c r="L4" i="1"/>
  <c r="L9" i="1"/>
  <c r="J12" i="1"/>
  <c r="N9" i="1"/>
  <c r="H6" i="1"/>
  <c r="N5" i="1"/>
  <c r="J6" i="1"/>
  <c r="L6" i="1"/>
  <c r="G13" i="1"/>
  <c r="L10" i="1"/>
  <c r="J9" i="1"/>
  <c r="N11" i="1"/>
  <c r="L11" i="1"/>
  <c r="D14" i="1"/>
  <c r="M5" i="1"/>
  <c r="H11" i="1"/>
  <c r="L14" i="1"/>
  <c r="I10" i="1"/>
  <c r="I7" i="1"/>
  <c r="D7" i="1"/>
  <c r="E7" i="1"/>
  <c r="G7" i="1"/>
  <c r="M13" i="1"/>
  <c r="H14" i="1"/>
  <c r="M11" i="1"/>
  <c r="F5" i="1"/>
  <c r="K6" i="1"/>
  <c r="G11" i="1"/>
  <c r="L13" i="1"/>
  <c r="N6" i="1"/>
  <c r="I4" i="1"/>
  <c r="J8" i="1"/>
  <c r="M9" i="1"/>
  <c r="D4" i="1"/>
  <c r="I8" i="1"/>
  <c r="D8" i="1"/>
  <c r="E14" i="1"/>
  <c r="D5" i="1"/>
  <c r="J11" i="1"/>
  <c r="E9" i="1"/>
  <c r="F9" i="1"/>
  <c r="P2" i="1" s="1"/>
  <c r="N10" i="1"/>
  <c r="H8" i="1"/>
  <c r="N14" i="1"/>
  <c r="P1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<sst xmlns="http://schemas.openxmlformats.org/spreadsheetml/2006/main" count="1" uniqueCount="1">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</sst>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2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2">
    <xf numFmtId="0" fontId="0" fillId="0" borderId="0" xfId="0"/>
    <xf numFmtId="0" fontId="0" fillId="0" borderId="0" xfId="0" applyAlignment="1">
      <alignment horizontal="right"/>
    </xf>
  </cellXfs>
  <cellStyles count="2">
    <cellStyle name="Handle" xfId="1" xr:uid="{4E7C6F6C-7AB9-43C9-9EF4-A7308A83755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Sheet1!$C$17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Sheet1!$D$17:$N$17</c:f>
              <c:numCache>
                <c:formatCode>General</c:formatCode>
                <c:ptCount val="11"/>
                <c:pt idx="0">
                  <c:v>1E-3</c:v>
                </c:pt>
                <c:pt idx="1">
                  <c:v>1.2342935985300352E-3</c:v>
                </c:pt>
                <c:pt idx="2">
                  <c:v>1.5617190428711242E-3</c:v>
                </c:pt>
                <c:pt idx="3">
                  <c:v>2.0390681792827859E-3</c:v>
                </c:pt>
                <c:pt idx="4">
                  <c:v>2.7740777744883374E-3</c:v>
                </c:pt>
                <c:pt idx="5">
                  <c:v>3.9920119840199777E-3</c:v>
                </c:pt>
                <c:pt idx="6">
                  <c:v>6.2312921032829172E-3</c:v>
                </c:pt>
                <c:pt idx="7">
                  <c:v>1.105944017777386E-2</c:v>
                </c:pt>
                <c:pt idx="8">
                  <c:v>2.4801193631847115E-2</c:v>
                </c:pt>
                <c:pt idx="9">
                  <c:v>9.8224011645438827E-2</c:v>
                </c:pt>
                <c:pt idx="10">
                  <c:v>999.99999999999829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BF-43E4-BE33-1A4A56B371B3}"/>
            </c:ext>
          </c:extLst>
        </c:ser>
        <c:ser>
          <c:idx val="1"/>
          <c:order val="1"/>
          <c:tx>
            <c:strRef>
              <c:f>Sheet1!$C$18</c:f>
              <c:strCache>
                <c:ptCount val="1"/>
                <c:pt idx="0">
                  <c:v>0.1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Sheet1!$D$18:$N$18</c:f>
              <c:numCache>
                <c:formatCode>General</c:formatCode>
                <c:ptCount val="11"/>
                <c:pt idx="0">
                  <c:v>1.2342935985300352E-3</c:v>
                </c:pt>
                <c:pt idx="1">
                  <c:v>1.6005633972407799E-3</c:v>
                </c:pt>
                <c:pt idx="2">
                  <c:v>2.1548932066352512E-3</c:v>
                </c:pt>
                <c:pt idx="3">
                  <c:v>3.0495021897984347E-3</c:v>
                </c:pt>
                <c:pt idx="4">
                  <c:v>4.6250302965488033E-3</c:v>
                </c:pt>
                <c:pt idx="5">
                  <c:v>7.7707099460882492E-3</c:v>
                </c:pt>
                <c:pt idx="6">
                  <c:v>1.5407183256802326E-2</c:v>
                </c:pt>
                <c:pt idx="7">
                  <c:v>4.1641495228951074E-2</c:v>
                </c:pt>
                <c:pt idx="8">
                  <c:v>0.24232226107297336</c:v>
                </c:pt>
                <c:pt idx="9">
                  <c:v>26.401926844269422</c:v>
                </c:pt>
                <c:pt idx="10">
                  <c:v>9.8224011645438758E-2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BF-43E4-BE33-1A4A56B371B3}"/>
            </c:ext>
          </c:extLst>
        </c:ser>
        <c:ser>
          <c:idx val="2"/>
          <c:order val="2"/>
          <c:tx>
            <c:strRef>
              <c:f>Sheet1!$C$19</c:f>
              <c:strCache>
                <c:ptCount val="1"/>
                <c:pt idx="0">
                  <c:v>0.2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Sheet1!$D$19:$N$19</c:f>
              <c:numCache>
                <c:formatCode>General</c:formatCode>
                <c:ptCount val="11"/>
                <c:pt idx="0">
                  <c:v>1.5617190428711242E-3</c:v>
                </c:pt>
                <c:pt idx="1">
                  <c:v>2.1548932066352512E-3</c:v>
                </c:pt>
                <c:pt idx="2">
                  <c:v>3.141249243121604E-3</c:v>
                </c:pt>
                <c:pt idx="3">
                  <c:v>4.9410850590055049E-3</c:v>
                </c:pt>
                <c:pt idx="4">
                  <c:v>8.6916032918170089E-3</c:v>
                </c:pt>
                <c:pt idx="5">
                  <c:v>1.828652524625822E-2</c:v>
                </c:pt>
                <c:pt idx="6">
                  <c:v>5.3457945533076284E-2</c:v>
                </c:pt>
                <c:pt idx="7">
                  <c:v>0.34195583529660456</c:v>
                </c:pt>
                <c:pt idx="8">
                  <c:v>19.789534608545942</c:v>
                </c:pt>
                <c:pt idx="9">
                  <c:v>0.24232226107297336</c:v>
                </c:pt>
                <c:pt idx="10">
                  <c:v>2.4801193631847174E-2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BF-43E4-BE33-1A4A56B371B3}"/>
            </c:ext>
          </c:extLst>
        </c:ser>
        <c:ser>
          <c:idx val="3"/>
          <c:order val="3"/>
          <c:tx>
            <c:strRef>
              <c:f>Sheet1!$C$20</c:f>
              <c:strCache>
                <c:ptCount val="1"/>
                <c:pt idx="0">
                  <c:v>0.3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Sheet1!$D$20:$N$20</c:f>
              <c:numCache>
                <c:formatCode>General</c:formatCode>
                <c:ptCount val="11"/>
                <c:pt idx="0">
                  <c:v>2.0390681792827859E-3</c:v>
                </c:pt>
                <c:pt idx="1">
                  <c:v>3.0495021897984347E-3</c:v>
                </c:pt>
                <c:pt idx="2">
                  <c:v>4.9410850590055049E-3</c:v>
                </c:pt>
                <c:pt idx="3">
                  <c:v>8.9981094652824591E-3</c:v>
                </c:pt>
                <c:pt idx="4">
                  <c:v>1.9720488121697521E-2</c:v>
                </c:pt>
                <c:pt idx="5">
                  <c:v>6.0464436173095923E-2</c:v>
                </c:pt>
                <c:pt idx="6">
                  <c:v>0.40468977437845532</c:v>
                </c:pt>
                <c:pt idx="7">
                  <c:v>17.270528003950261</c:v>
                </c:pt>
                <c:pt idx="8">
                  <c:v>0.3419558352966055</c:v>
                </c:pt>
                <c:pt idx="9">
                  <c:v>4.1641495228951206E-2</c:v>
                </c:pt>
                <c:pt idx="10">
                  <c:v>1.1059440177773869E-2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BF-43E4-BE33-1A4A56B371B3}"/>
            </c:ext>
          </c:extLst>
        </c:ser>
        <c:ser>
          <c:idx val="4"/>
          <c:order val="4"/>
          <c:tx>
            <c:strRef>
              <c:f>Sheet1!$C$21</c:f>
              <c:strCache>
                <c:ptCount val="1"/>
                <c:pt idx="0">
                  <c:v>0.4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Sheet1!$D$21:$N$21</c:f>
              <c:numCache>
                <c:formatCode>General</c:formatCode>
                <c:ptCount val="11"/>
                <c:pt idx="0">
                  <c:v>2.7740777744883374E-3</c:v>
                </c:pt>
                <c:pt idx="1">
                  <c:v>4.6250302965488033E-3</c:v>
                </c:pt>
                <c:pt idx="2">
                  <c:v>8.6916032918170089E-3</c:v>
                </c:pt>
                <c:pt idx="3">
                  <c:v>1.9720488121697521E-2</c:v>
                </c:pt>
                <c:pt idx="4">
                  <c:v>6.2786189138963278E-2</c:v>
                </c:pt>
                <c:pt idx="5">
                  <c:v>0.43501073894100922</c:v>
                </c:pt>
                <c:pt idx="6">
                  <c:v>16.153903196224309</c:v>
                </c:pt>
                <c:pt idx="7">
                  <c:v>0.40468977437845638</c:v>
                </c:pt>
                <c:pt idx="8">
                  <c:v>5.3457945533076208E-2</c:v>
                </c:pt>
                <c:pt idx="9">
                  <c:v>1.5407183256802345E-2</c:v>
                </c:pt>
                <c:pt idx="10">
                  <c:v>6.2312921032829285E-3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BF-43E4-BE33-1A4A56B371B3}"/>
            </c:ext>
          </c:extLst>
        </c:ser>
        <c:ser>
          <c:idx val="5"/>
          <c:order val="5"/>
          <c:tx>
            <c:strRef>
              <c:f>Sheet1!$C$22</c:f>
              <c:strCache>
                <c:ptCount val="1"/>
                <c:pt idx="0">
                  <c:v>0.5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Sheet1!$D$22:$N$22</c:f>
              <c:numCache>
                <c:formatCode>General</c:formatCode>
                <c:ptCount val="11"/>
                <c:pt idx="0">
                  <c:v>3.9920119840199777E-3</c:v>
                </c:pt>
                <c:pt idx="1">
                  <c:v>7.7707099460882492E-3</c:v>
                </c:pt>
                <c:pt idx="2">
                  <c:v>1.828652524625822E-2</c:v>
                </c:pt>
                <c:pt idx="3">
                  <c:v>6.0464436173095923E-2</c:v>
                </c:pt>
                <c:pt idx="4">
                  <c:v>0.43501073894100922</c:v>
                </c:pt>
                <c:pt idx="5">
                  <c:v>15.827199689142736</c:v>
                </c:pt>
                <c:pt idx="6">
                  <c:v>0.43501073894100939</c:v>
                </c:pt>
                <c:pt idx="7">
                  <c:v>6.0464436173096006E-2</c:v>
                </c:pt>
                <c:pt idx="8">
                  <c:v>1.8286525246258237E-2</c:v>
                </c:pt>
                <c:pt idx="9">
                  <c:v>7.7707099460882639E-3</c:v>
                </c:pt>
                <c:pt idx="10">
                  <c:v>3.9920119840199759E-3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BF-43E4-BE33-1A4A56B371B3}"/>
            </c:ext>
          </c:extLst>
        </c:ser>
        <c:ser>
          <c:idx val="6"/>
          <c:order val="6"/>
          <c:tx>
            <c:strRef>
              <c:f>Sheet1!$C$23</c:f>
              <c:strCache>
                <c:ptCount val="1"/>
                <c:pt idx="0">
                  <c:v>0.6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Sheet1!$D$23:$N$23</c:f>
              <c:numCache>
                <c:formatCode>General</c:formatCode>
                <c:ptCount val="11"/>
                <c:pt idx="0">
                  <c:v>6.2312921032829172E-3</c:v>
                </c:pt>
                <c:pt idx="1">
                  <c:v>1.5407183256802326E-2</c:v>
                </c:pt>
                <c:pt idx="2">
                  <c:v>5.3457945533076284E-2</c:v>
                </c:pt>
                <c:pt idx="3">
                  <c:v>0.40468977437845532</c:v>
                </c:pt>
                <c:pt idx="4">
                  <c:v>16.153903196224309</c:v>
                </c:pt>
                <c:pt idx="5">
                  <c:v>0.43501073894100939</c:v>
                </c:pt>
                <c:pt idx="6">
                  <c:v>6.2786189138963375E-2</c:v>
                </c:pt>
                <c:pt idx="7">
                  <c:v>1.9720488121697591E-2</c:v>
                </c:pt>
                <c:pt idx="8">
                  <c:v>8.6916032918170176E-3</c:v>
                </c:pt>
                <c:pt idx="9">
                  <c:v>4.6250302965488051E-3</c:v>
                </c:pt>
                <c:pt idx="10">
                  <c:v>2.7740777744883365E-3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BF-43E4-BE33-1A4A56B371B3}"/>
            </c:ext>
          </c:extLst>
        </c:ser>
        <c:ser>
          <c:idx val="7"/>
          <c:order val="7"/>
          <c:tx>
            <c:strRef>
              <c:f>Sheet1!$C$24</c:f>
              <c:strCache>
                <c:ptCount val="1"/>
                <c:pt idx="0">
                  <c:v>0.7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Sheet1!$D$24:$N$24</c:f>
              <c:numCache>
                <c:formatCode>General</c:formatCode>
                <c:ptCount val="11"/>
                <c:pt idx="0">
                  <c:v>1.105944017777386E-2</c:v>
                </c:pt>
                <c:pt idx="1">
                  <c:v>4.1641495228951074E-2</c:v>
                </c:pt>
                <c:pt idx="2">
                  <c:v>0.34195583529660456</c:v>
                </c:pt>
                <c:pt idx="3">
                  <c:v>17.270528003950261</c:v>
                </c:pt>
                <c:pt idx="4">
                  <c:v>0.40468977437845638</c:v>
                </c:pt>
                <c:pt idx="5">
                  <c:v>6.0464436173096006E-2</c:v>
                </c:pt>
                <c:pt idx="6">
                  <c:v>1.9720488121697591E-2</c:v>
                </c:pt>
                <c:pt idx="7">
                  <c:v>8.9981094652824747E-3</c:v>
                </c:pt>
                <c:pt idx="8">
                  <c:v>4.9410850590055041E-3</c:v>
                </c:pt>
                <c:pt idx="9">
                  <c:v>3.0495021897984347E-3</c:v>
                </c:pt>
                <c:pt idx="10">
                  <c:v>2.0390681792827863E-3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BF-43E4-BE33-1A4A56B371B3}"/>
            </c:ext>
          </c:extLst>
        </c:ser>
        <c:ser>
          <c:idx val="8"/>
          <c:order val="8"/>
          <c:tx>
            <c:strRef>
              <c:f>Sheet1!$C$25</c:f>
              <c:strCache>
                <c:ptCount val="1"/>
                <c:pt idx="0">
                  <c:v>0.8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Sheet1!$D$25:$N$25</c:f>
              <c:numCache>
                <c:formatCode>General</c:formatCode>
                <c:ptCount val="11"/>
                <c:pt idx="0">
                  <c:v>2.4801193631847115E-2</c:v>
                </c:pt>
                <c:pt idx="1">
                  <c:v>0.24232226107297336</c:v>
                </c:pt>
                <c:pt idx="2">
                  <c:v>19.789534608545942</c:v>
                </c:pt>
                <c:pt idx="3">
                  <c:v>0.3419558352966055</c:v>
                </c:pt>
                <c:pt idx="4">
                  <c:v>5.3457945533076208E-2</c:v>
                </c:pt>
                <c:pt idx="5">
                  <c:v>1.8286525246258237E-2</c:v>
                </c:pt>
                <c:pt idx="6">
                  <c:v>8.6916032918170176E-3</c:v>
                </c:pt>
                <c:pt idx="7">
                  <c:v>4.9410850590055041E-3</c:v>
                </c:pt>
                <c:pt idx="8">
                  <c:v>3.1412492431216045E-3</c:v>
                </c:pt>
                <c:pt idx="9">
                  <c:v>2.1548932066352494E-3</c:v>
                </c:pt>
                <c:pt idx="10">
                  <c:v>1.5617190428711244E-3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BF-43E4-BE33-1A4A56B371B3}"/>
            </c:ext>
          </c:extLst>
        </c:ser>
        <c:ser>
          <c:idx val="9"/>
          <c:order val="9"/>
          <c:tx>
            <c:strRef>
              <c:f>Sheet1!$C$26</c:f>
              <c:strCache>
                <c:ptCount val="1"/>
                <c:pt idx="0">
                  <c:v>0.9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Sheet1!$D$26:$N$26</c:f>
              <c:numCache>
                <c:formatCode>General</c:formatCode>
                <c:ptCount val="11"/>
                <c:pt idx="0">
                  <c:v>9.8224011645438827E-2</c:v>
                </c:pt>
                <c:pt idx="1">
                  <c:v>26.401926844269422</c:v>
                </c:pt>
                <c:pt idx="2">
                  <c:v>0.24232226107297336</c:v>
                </c:pt>
                <c:pt idx="3">
                  <c:v>4.1641495228951206E-2</c:v>
                </c:pt>
                <c:pt idx="4">
                  <c:v>1.5407183256802345E-2</c:v>
                </c:pt>
                <c:pt idx="5">
                  <c:v>7.7707099460882639E-3</c:v>
                </c:pt>
                <c:pt idx="6">
                  <c:v>4.6250302965488051E-3</c:v>
                </c:pt>
                <c:pt idx="7">
                  <c:v>3.0495021897984347E-3</c:v>
                </c:pt>
                <c:pt idx="8">
                  <c:v>2.1548932066352494E-3</c:v>
                </c:pt>
                <c:pt idx="9">
                  <c:v>1.6005633972407806E-3</c:v>
                </c:pt>
                <c:pt idx="10">
                  <c:v>1.2342935985300359E-3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BF-43E4-BE33-1A4A56B371B3}"/>
            </c:ext>
          </c:extLst>
        </c:ser>
        <c:ser>
          <c:idx val="10"/>
          <c:order val="10"/>
          <c:tx>
            <c:strRef>
              <c:f>Sheet1!$C$27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/>
            <a:effectLst/>
            <a:sp3d/>
          </c:spPr>
          <c:cat>
            <c:numRef>
              <c:f>Sheet1!$D$16:$N$16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Sheet1!$D$27:$N$27</c:f>
              <c:numCache>
                <c:formatCode>General</c:formatCode>
                <c:ptCount val="11"/>
                <c:pt idx="0">
                  <c:v>999.99999999999829</c:v>
                </c:pt>
                <c:pt idx="1">
                  <c:v>9.8224011645438758E-2</c:v>
                </c:pt>
                <c:pt idx="2">
                  <c:v>2.4801193631847174E-2</c:v>
                </c:pt>
                <c:pt idx="3">
                  <c:v>1.1059440177773869E-2</c:v>
                </c:pt>
                <c:pt idx="4">
                  <c:v>6.2312921032829285E-3</c:v>
                </c:pt>
                <c:pt idx="5">
                  <c:v>3.9920119840199759E-3</c:v>
                </c:pt>
                <c:pt idx="6">
                  <c:v>2.7740777744883365E-3</c:v>
                </c:pt>
                <c:pt idx="7">
                  <c:v>2.0390681792827863E-3</c:v>
                </c:pt>
                <c:pt idx="8">
                  <c:v>1.5617190428711244E-3</c:v>
                </c:pt>
                <c:pt idx="9">
                  <c:v>1.2342935985300359E-3</c:v>
                </c:pt>
                <c:pt idx="10">
                  <c:v>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BF-43E4-BE33-1A4A56B371B3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1013839487"/>
        <c:axId val="1013832767"/>
        <c:axId val="588509023"/>
      </c:surface3DChart>
      <c:catAx>
        <c:axId val="10138394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832767"/>
        <c:crosses val="autoZero"/>
        <c:auto val="1"/>
        <c:lblAlgn val="ctr"/>
        <c:lblOffset val="100"/>
        <c:noMultiLvlLbl val="0"/>
      </c:catAx>
      <c:valAx>
        <c:axId val="101383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839487"/>
        <c:crosses val="autoZero"/>
        <c:crossBetween val="midCat"/>
      </c:valAx>
      <c:serAx>
        <c:axId val="58850902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832767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tx>
            <c:strRef>
              <c:f>Sheet1!$C$4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1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Sheet1!$D$4:$N$4</c:f>
              <c:numCache>
                <c:formatCode>General</c:formatCode>
                <c:ptCount val="11"/>
                <c:pt idx="0">
                  <c:v>-</c:v>
                </c:pt>
                <c:pt idx="1">
                  <c:v>-</c:v>
                </c:pt>
                <c:pt idx="2">
                  <c:v>-</c:v>
                </c:pt>
                <c:pt idx="3">
                  <c:v>-</c:v>
                </c:pt>
                <c:pt idx="4">
                  <c:v>-</c:v>
                </c:pt>
                <c:pt idx="5">
                  <c:v>-</c:v>
                </c:pt>
                <c:pt idx="6">
                  <c:v>-</c:v>
                </c:pt>
                <c:pt idx="7">
                  <c:v>-</c:v>
                </c:pt>
                <c:pt idx="8">
                  <c:v>-</c:v>
                </c:pt>
                <c:pt idx="9">
                  <c:v>-</c:v>
                </c:pt>
                <c:pt idx="10">
                  <c:v>-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1C-481F-BE05-5429115A7030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0.1</c:v>
                </c:pt>
              </c:strCache>
            </c:strRef>
          </c:tx>
          <c:spPr>
            <a:solidFill>
              <a:schemeClr val="accent2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Sheet1!$D$5:$N$5</c:f>
              <c:numCache>
                <c:formatCode>General</c:formatCode>
                <c:ptCount val="11"/>
                <c:pt idx="0">
                  <c:v>-</c:v>
                </c:pt>
                <c:pt idx="1">
                  <c:v>1.249668081622464E-5</c:v>
                </c:pt>
                <c:pt idx="2">
                  <c:v>2.855802549583541E-5</c:v>
                </c:pt>
                <c:pt idx="3">
                  <c:v>4.996253537858119E-5</c:v>
                </c:pt>
                <c:pt idx="4">
                  <c:v>7.9907335070894417E-5</c:v>
                </c:pt>
                <c:pt idx="5">
                  <c:v>1.2477395663576204E-4</c:v>
                </c:pt>
                <c:pt idx="6">
                  <c:v>1.9940232282984323E-4</c:v>
                </c:pt>
                <c:pt idx="7">
                  <c:v>3.4800306262219009E-4</c:v>
                </c:pt>
                <c:pt idx="8">
                  <c:v>7.867360294699096E-4</c:v>
                </c:pt>
                <c:pt idx="9">
                  <c:v>9.0042662426179938E-3</c:v>
                </c:pt>
                <c:pt idx="10">
                  <c:v>9.9999999999999992E-2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1C-481F-BE05-5429115A7030}"/>
            </c:ext>
          </c:extLst>
        </c:ser>
        <c:ser>
          <c:idx val="2"/>
          <c:order val="2"/>
          <c:tx>
            <c:strRef>
              <c:f>Sheet1!$C$6</c:f>
              <c:strCache>
                <c:ptCount val="1"/>
                <c:pt idx="0">
                  <c:v>0.2</c:v>
                </c:pt>
              </c:strCache>
            </c:strRef>
          </c:tx>
          <c:spPr>
            <a:solidFill>
              <a:schemeClr val="accent3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Sheet1!$D$6:$N$6</c:f>
              <c:numCache>
                <c:formatCode>General</c:formatCode>
                <c:ptCount val="11"/>
                <c:pt idx="0">
                  <c:v>-</c:v>
                </c:pt>
                <c:pt idx="1">
                  <c:v>2.855802549583541E-5</c:v>
                </c:pt>
                <c:pt idx="2">
                  <c:v>6.6614868249287269E-5</c:v>
                </c:pt>
                <c:pt idx="3">
                  <c:v>1.1985144854076157E-4</c:v>
                </c:pt>
                <c:pt idx="4">
                  <c:v>1.9960109646253196E-4</c:v>
                </c:pt>
                <c:pt idx="5">
                  <c:v>3.3219075375397417E-4</c:v>
                </c:pt>
                <c:pt idx="6">
                  <c:v>5.9584325619141225E-4</c:v>
                </c:pt>
                <c:pt idx="7">
                  <c:v>1.3689576703845251E-3</c:v>
                </c:pt>
                <c:pt idx="8">
                  <c:v>1.2164832535435091E-2</c:v>
                </c:pt>
                <c:pt idx="9">
                  <c:v>0.1007867360294699</c:v>
                </c:pt>
                <c:pt idx="10">
                  <c:v>0.19999999999999987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1C-481F-BE05-5429115A7030}"/>
            </c:ext>
          </c:extLst>
        </c:ser>
        <c:ser>
          <c:idx val="3"/>
          <c:order val="3"/>
          <c:tx>
            <c:strRef>
              <c:f>Sheet1!$C$7</c:f>
              <c:strCache>
                <c:ptCount val="1"/>
                <c:pt idx="0">
                  <c:v>0.3</c:v>
                </c:pt>
              </c:strCache>
            </c:strRef>
          </c:tx>
          <c:spPr>
            <a:solidFill>
              <a:schemeClr val="accent4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Sheet1!$D$7:$N$7</c:f>
              <c:numCache>
                <c:formatCode>General</c:formatCode>
                <c:ptCount val="11"/>
                <c:pt idx="0">
                  <c:v>-</c:v>
                </c:pt>
                <c:pt idx="1">
                  <c:v>4.996253537858119E-5</c:v>
                </c:pt>
                <c:pt idx="2">
                  <c:v>1.1985144854076157E-4</c:v>
                </c:pt>
                <c:pt idx="3">
                  <c:v>2.2453727765333505E-4</c:v>
                </c:pt>
                <c:pt idx="4">
                  <c:v>3.9854114993964298E-4</c:v>
                </c:pt>
                <c:pt idx="5">
                  <c:v>7.4425615880137548E-4</c:v>
                </c:pt>
                <c:pt idx="6">
                  <c:v>1.7535015565786393E-3</c:v>
                </c:pt>
                <c:pt idx="7">
                  <c:v>1.400676357516902E-2</c:v>
                </c:pt>
                <c:pt idx="8">
                  <c:v>0.10136895767038451</c:v>
                </c:pt>
                <c:pt idx="9">
                  <c:v>0.20034800306262207</c:v>
                </c:pt>
                <c:pt idx="10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1C-481F-BE05-5429115A7030}"/>
            </c:ext>
          </c:extLst>
        </c:ser>
        <c:ser>
          <c:idx val="4"/>
          <c:order val="4"/>
          <c:tx>
            <c:strRef>
              <c:f>Sheet1!$C$8</c:f>
              <c:strCache>
                <c:ptCount val="1"/>
                <c:pt idx="0">
                  <c:v>0.4</c:v>
                </c:pt>
              </c:strCache>
            </c:strRef>
          </c:tx>
          <c:spPr>
            <a:solidFill>
              <a:schemeClr val="accent5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Sheet1!$D$8:$N$8</c:f>
              <c:numCache>
                <c:formatCode>General</c:formatCode>
                <c:ptCount val="11"/>
                <c:pt idx="0">
                  <c:v>-</c:v>
                </c:pt>
                <c:pt idx="1">
                  <c:v>7.9907335070894417E-5</c:v>
                </c:pt>
                <c:pt idx="2">
                  <c:v>1.9960109646253196E-4</c:v>
                </c:pt>
                <c:pt idx="3">
                  <c:v>3.9854114993964298E-4</c:v>
                </c:pt>
                <c:pt idx="4">
                  <c:v>7.9367880419232983E-4</c:v>
                </c:pt>
                <c:pt idx="5">
                  <c:v>1.9447161641415842E-3</c:v>
                </c:pt>
                <c:pt idx="6">
                  <c:v>1.5007263393473431E-2</c:v>
                </c:pt>
                <c:pt idx="7">
                  <c:v>0.10175350155657864</c:v>
                </c:pt>
                <c:pt idx="8">
                  <c:v>0.20059584325619148</c:v>
                </c:pt>
                <c:pt idx="9">
                  <c:v>0.30019940232282982</c:v>
                </c:pt>
                <c:pt idx="10">
                  <c:v>0.39999999999999986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1C-481F-BE05-5429115A7030}"/>
            </c:ext>
          </c:extLst>
        </c:ser>
        <c:ser>
          <c:idx val="5"/>
          <c:order val="5"/>
          <c:tx>
            <c:strRef>
              <c:f>Sheet1!$C$9</c:f>
              <c:strCache>
                <c:ptCount val="1"/>
                <c:pt idx="0">
                  <c:v>0.5</c:v>
                </c:pt>
              </c:strCache>
            </c:strRef>
          </c:tx>
          <c:spPr>
            <a:solidFill>
              <a:schemeClr val="accent6"/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Sheet1!$D$9:$N$9</c:f>
              <c:numCache>
                <c:formatCode>General</c:formatCode>
                <c:ptCount val="11"/>
                <c:pt idx="0">
                  <c:v>-</c:v>
                </c:pt>
                <c:pt idx="1">
                  <c:v>1.2477395663576204E-4</c:v>
                </c:pt>
                <c:pt idx="2">
                  <c:v>3.3219075375397417E-4</c:v>
                </c:pt>
                <c:pt idx="3">
                  <c:v>7.4425615880137548E-4</c:v>
                </c:pt>
                <c:pt idx="4">
                  <c:v>1.9447161641415842E-3</c:v>
                </c:pt>
                <c:pt idx="5">
                  <c:v>1.5326715015857754E-2</c:v>
                </c:pt>
                <c:pt idx="6">
                  <c:v>0.10194471616414158</c:v>
                </c:pt>
                <c:pt idx="7">
                  <c:v>0.20074425615880123</c:v>
                </c:pt>
                <c:pt idx="8">
                  <c:v>0.30033219075375395</c:v>
                </c:pt>
                <c:pt idx="9">
                  <c:v>0.40012477395663559</c:v>
                </c:pt>
                <c:pt idx="10">
                  <c:v>0.49999999999999994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1C-481F-BE05-5429115A7030}"/>
            </c:ext>
          </c:extLst>
        </c:ser>
        <c:ser>
          <c:idx val="6"/>
          <c:order val="6"/>
          <c:tx>
            <c:strRef>
              <c:f>Sheet1!$C$10</c:f>
              <c:strCache>
                <c:ptCount val="1"/>
                <c:pt idx="0">
                  <c:v>0.6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Sheet1!$D$10:$N$10</c:f>
              <c:numCache>
                <c:formatCode>General</c:formatCode>
                <c:ptCount val="11"/>
                <c:pt idx="0">
                  <c:v>-</c:v>
                </c:pt>
                <c:pt idx="1">
                  <c:v>1.9940232282984323E-4</c:v>
                </c:pt>
                <c:pt idx="2">
                  <c:v>5.9584325619141225E-4</c:v>
                </c:pt>
                <c:pt idx="3">
                  <c:v>1.7535015565786393E-3</c:v>
                </c:pt>
                <c:pt idx="4">
                  <c:v>1.5007263393473431E-2</c:v>
                </c:pt>
                <c:pt idx="5">
                  <c:v>0.10194471616414158</c:v>
                </c:pt>
                <c:pt idx="6">
                  <c:v>0.20079367880419219</c:v>
                </c:pt>
                <c:pt idx="7">
                  <c:v>0.30039854114993936</c:v>
                </c:pt>
                <c:pt idx="8">
                  <c:v>0.40019960109646235</c:v>
                </c:pt>
                <c:pt idx="9">
                  <c:v>0.50007990733507079</c:v>
                </c:pt>
                <c:pt idx="10">
                  <c:v>0.60000000000000009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1C-481F-BE05-5429115A7030}"/>
            </c:ext>
          </c:extLst>
        </c:ser>
        <c:ser>
          <c:idx val="7"/>
          <c:order val="7"/>
          <c:tx>
            <c:strRef>
              <c:f>Sheet1!$C$11</c:f>
              <c:strCache>
                <c:ptCount val="1"/>
                <c:pt idx="0">
                  <c:v>0.7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Sheet1!$D$11:$N$11</c:f>
              <c:numCache>
                <c:formatCode>General</c:formatCode>
                <c:ptCount val="11"/>
                <c:pt idx="0">
                  <c:v>-</c:v>
                </c:pt>
                <c:pt idx="1">
                  <c:v>3.4800306262219009E-4</c:v>
                </c:pt>
                <c:pt idx="2">
                  <c:v>1.3689576703845251E-3</c:v>
                </c:pt>
                <c:pt idx="3">
                  <c:v>1.400676357516902E-2</c:v>
                </c:pt>
                <c:pt idx="4">
                  <c:v>0.10175350155657864</c:v>
                </c:pt>
                <c:pt idx="5">
                  <c:v>0.20074425615880123</c:v>
                </c:pt>
                <c:pt idx="6">
                  <c:v>0.30039854114993936</c:v>
                </c:pt>
                <c:pt idx="7">
                  <c:v>0.40022453727765323</c:v>
                </c:pt>
                <c:pt idx="8">
                  <c:v>0.50011985144854065</c:v>
                </c:pt>
                <c:pt idx="9">
                  <c:v>0.60004996253537857</c:v>
                </c:pt>
                <c:pt idx="10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1C-481F-BE05-5429115A7030}"/>
            </c:ext>
          </c:extLst>
        </c:ser>
        <c:ser>
          <c:idx val="8"/>
          <c:order val="8"/>
          <c:tx>
            <c:strRef>
              <c:f>Sheet1!$C$12</c:f>
              <c:strCache>
                <c:ptCount val="1"/>
                <c:pt idx="0">
                  <c:v>0.8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Sheet1!$D$12:$N$12</c:f>
              <c:numCache>
                <c:formatCode>General</c:formatCode>
                <c:ptCount val="11"/>
                <c:pt idx="0">
                  <c:v>-</c:v>
                </c:pt>
                <c:pt idx="1">
                  <c:v>7.867360294699096E-4</c:v>
                </c:pt>
                <c:pt idx="2">
                  <c:v>1.2164832535435091E-2</c:v>
                </c:pt>
                <c:pt idx="3">
                  <c:v>0.10136895767038451</c:v>
                </c:pt>
                <c:pt idx="4">
                  <c:v>0.20059584325619148</c:v>
                </c:pt>
                <c:pt idx="5">
                  <c:v>0.30033219075375395</c:v>
                </c:pt>
                <c:pt idx="6">
                  <c:v>0.40019960109646235</c:v>
                </c:pt>
                <c:pt idx="7">
                  <c:v>0.50011985144854065</c:v>
                </c:pt>
                <c:pt idx="8">
                  <c:v>0.6000666148682493</c:v>
                </c:pt>
                <c:pt idx="9">
                  <c:v>0.70002855802549602</c:v>
                </c:pt>
                <c:pt idx="10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1C-481F-BE05-5429115A7030}"/>
            </c:ext>
          </c:extLst>
        </c:ser>
        <c:ser>
          <c:idx val="9"/>
          <c:order val="9"/>
          <c:tx>
            <c:strRef>
              <c:f>Sheet1!$C$13</c:f>
              <c:strCache>
                <c:ptCount val="1"/>
                <c:pt idx="0">
                  <c:v>0.9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Sheet1!$D$13:$N$13</c:f>
              <c:numCache>
                <c:formatCode>General</c:formatCode>
                <c:ptCount val="11"/>
                <c:pt idx="0">
                  <c:v>-</c:v>
                </c:pt>
                <c:pt idx="1">
                  <c:v>9.0042662426179938E-3</c:v>
                </c:pt>
                <c:pt idx="2">
                  <c:v>0.1007867360294699</c:v>
                </c:pt>
                <c:pt idx="3">
                  <c:v>0.20034800306262207</c:v>
                </c:pt>
                <c:pt idx="4">
                  <c:v>0.30019940232282982</c:v>
                </c:pt>
                <c:pt idx="5">
                  <c:v>0.40012477395663559</c:v>
                </c:pt>
                <c:pt idx="6">
                  <c:v>0.50007990733507079</c:v>
                </c:pt>
                <c:pt idx="7">
                  <c:v>0.60004996253537857</c:v>
                </c:pt>
                <c:pt idx="8">
                  <c:v>0.70002855802549602</c:v>
                </c:pt>
                <c:pt idx="9">
                  <c:v>0.8000124966808162</c:v>
                </c:pt>
                <c:pt idx="10">
                  <c:v>0.89999999999999991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11C-481F-BE05-5429115A7030}"/>
            </c:ext>
          </c:extLst>
        </c:ser>
        <c:ser>
          <c:idx val="10"/>
          <c:order val="10"/>
          <c:tx>
            <c:strRef>
              <c:f>Sheet1!$C$14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/>
            <a:effectLst/>
            <a:sp3d/>
          </c:spPr>
          <c:cat>
            <c:numRef>
              <c:f>Sheet1!$D$3:$N$3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cat>
          <c:val>
            <c:numRef>
              <c:f>Sheet1!$D$14:$N$14</c:f>
              <c:numCache>
                <c:formatCode>General</c:formatCode>
                <c:ptCount val="11"/>
                <c:pt idx="0">
                  <c:v>-</c:v>
                </c:pt>
                <c:pt idx="1">
                  <c:v>9.9999999999999992E-2</c:v>
                </c:pt>
                <c:pt idx="2">
                  <c:v>0.19999999999999987</c:v>
                </c:pt>
                <c:pt idx="3">
                  <c:v>0.3</c:v>
                </c:pt>
                <c:pt idx="4">
                  <c:v>0.39999999999999986</c:v>
                </c:pt>
                <c:pt idx="5">
                  <c:v>0.49999999999999994</c:v>
                </c:pt>
                <c:pt idx="6">
                  <c:v>0.60000000000000009</c:v>
                </c:pt>
                <c:pt idx="7">
                  <c:v>0.7</c:v>
                </c:pt>
                <c:pt idx="8">
                  <c:v>0.8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11C-481F-BE05-5429115A7030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821799935"/>
        <c:axId val="821807135"/>
        <c:axId val="592687663"/>
      </c:surface3DChart>
      <c:catAx>
        <c:axId val="8217999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807135"/>
        <c:crosses val="autoZero"/>
        <c:auto val="1"/>
        <c:lblAlgn val="ctr"/>
        <c:lblOffset val="100"/>
        <c:noMultiLvlLbl val="0"/>
      </c:catAx>
      <c:valAx>
        <c:axId val="821807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799935"/>
        <c:crosses val="autoZero"/>
        <c:crossBetween val="midCat"/>
      </c:valAx>
      <c:serAx>
        <c:axId val="592687663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1807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469106</xdr:colOff>
      <xdr:row>13</xdr:row>
      <xdr:rowOff>100012</xdr:rowOff>
    </xdr:from>
    <xdr:to>
      <xdr:col>11</xdr:col>
      <xdr:colOff>240506</xdr:colOff>
      <xdr:row>25</xdr:row>
      <xdr:rowOff>100012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6CBDEA-D6FA-7518-F949-C340D37B1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</xdr:row>
      <xdr:rowOff>0</xdr:rowOff>
    </xdr:from>
    <xdr:to>
      <xdr:col>12</xdr:col>
      <xdr:colOff>0</xdr:colOff>
      <xdr:row>13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A01640-CFC4-228E-F8E3-B788C92AA2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B58D-170D-4409-80B1-36FF0C79D9D9}">
  <dimension ref="B2:P27"/>
  <sheetViews>
    <sheetView tabSelected="1" zoomScale="110" zoomScaleNormal="110" workbookViewId="0"/>
  </sheetViews>
  <sheetFormatPr defaultRowHeight="18" x14ac:dyDescent="0.55000000000000004"/>
  <cols>
    <col min="1" max="1" width="3.578125" customWidth="1"/>
  </cols>
  <sheetData>
    <row r="2" spans="2:16" x14ac:dyDescent="0.55000000000000004">
      <c r="B2" s="1" t="s">
        <v>0</v>
      </c>
      <c r="C2">
        <v>1E-3</v>
      </c>
      <c r="P2">
        <f>F9</f>
        <v>3.3219075375397417E-4</v>
      </c>
    </row>
    <row r="3" spans="2:16" x14ac:dyDescent="0.55000000000000004">
      <c r="D3">
        <v>0</v>
      </c>
      <c r="E3">
        <v>0.1</v>
      </c>
      <c r="F3">
        <v>0.2</v>
      </c>
      <c r="G3">
        <v>0.3</v>
      </c>
      <c r="H3">
        <v>0.4</v>
      </c>
      <c r="I3">
        <v>0.5</v>
      </c>
      <c r="J3">
        <v>0.6</v>
      </c>
      <c r="K3">
        <v>0.7</v>
      </c>
      <c r="L3">
        <v>0.8</v>
      </c>
      <c r="M3">
        <v>0.9</v>
      </c>
      <c r="N3">
        <v>1</v>
      </c>
    </row>
    <row r="4" spans="2:16" x14ac:dyDescent="0.55000000000000004">
      <c r="C4">
        <v>0</v>
      </c>
      <c r="D4" cm="1">
        <f t="array" ref="D4">_xll.PLACKETT($C4,D$3,theta)</f>
        <v>0</v>
      </c>
      <c r="E4" cm="1">
        <f t="array" ref="E4">_xll.PLACKETT($C4,E$3,theta)</f>
        <v>0</v>
      </c>
      <c r="F4" cm="1">
        <f t="array" ref="F4">_xll.PLACKETT($C4,F$3,theta)</f>
        <v>0</v>
      </c>
      <c r="G4" cm="1">
        <f t="array" ref="G4">_xll.PLACKETT($C4,G$3,theta)</f>
        <v>0</v>
      </c>
      <c r="H4" cm="1">
        <f t="array" ref="H4">_xll.PLACKETT($C4,H$3,theta)</f>
        <v>0</v>
      </c>
      <c r="I4" cm="1">
        <f t="array" ref="I4">_xll.PLACKETT($C4,I$3,theta)</f>
        <v>0</v>
      </c>
      <c r="J4" cm="1">
        <f t="array" ref="J4">_xll.PLACKETT($C4,J$3,theta)</f>
        <v>0</v>
      </c>
      <c r="K4" cm="1">
        <f t="array" ref="K4">_xll.PLACKETT($C4,K$3,theta)</f>
        <v>0</v>
      </c>
      <c r="L4" cm="1">
        <f t="array" ref="L4">_xll.PLACKETT($C4,L$3,theta)</f>
        <v>0</v>
      </c>
      <c r="M4" cm="1">
        <f t="array" ref="M4">_xll.PLACKETT($C4,M$3,theta)</f>
        <v>0</v>
      </c>
      <c r="N4" cm="1">
        <f t="array" ref="N4">_xll.PLACKETT($C4,N$3,theta)</f>
        <v>0</v>
      </c>
    </row>
    <row r="5" spans="2:16" x14ac:dyDescent="0.55000000000000004">
      <c r="C5">
        <v>0.1</v>
      </c>
      <c r="D5" cm="1">
        <f t="array" ref="D5">_xll.PLACKETT($C5,D$3,theta)</f>
        <v>0</v>
      </c>
      <c r="E5" cm="1">
        <f t="array" ref="E5">_xll.PLACKETT($C5,E$3,theta)</f>
        <v>1.249668081622464E-5</v>
      </c>
      <c r="F5" cm="1">
        <f t="array" ref="F5">_xll.PLACKETT($C5,F$3,theta)</f>
        <v>2.855802549583541E-5</v>
      </c>
      <c r="G5" cm="1">
        <f t="array" ref="G5">_xll.PLACKETT($C5,G$3,theta)</f>
        <v>4.996253537858119E-5</v>
      </c>
      <c r="H5" cm="1">
        <f t="array" ref="H5">_xll.PLACKETT($C5,H$3,theta)</f>
        <v>7.9907335070894417E-5</v>
      </c>
      <c r="I5" cm="1">
        <f t="array" ref="I5">_xll.PLACKETT($C5,I$3,theta)</f>
        <v>1.2477395663576204E-4</v>
      </c>
      <c r="J5" cm="1">
        <f t="array" ref="J5">_xll.PLACKETT($C5,J$3,theta)</f>
        <v>1.9940232282984323E-4</v>
      </c>
      <c r="K5" cm="1">
        <f t="array" ref="K5">_xll.PLACKETT($C5,K$3,theta)</f>
        <v>3.4800306262219009E-4</v>
      </c>
      <c r="L5" cm="1">
        <f t="array" ref="L5">_xll.PLACKETT($C5,L$3,theta)</f>
        <v>7.867360294699096E-4</v>
      </c>
      <c r="M5" cm="1">
        <f t="array" ref="M5">_xll.PLACKETT($C5,M$3,theta)</f>
        <v>9.0042662426179938E-3</v>
      </c>
      <c r="N5" cm="1">
        <f t="array" ref="N5">_xll.PLACKETT($C5,N$3,theta)</f>
        <v>9.9999999999999992E-2</v>
      </c>
    </row>
    <row r="6" spans="2:16" x14ac:dyDescent="0.55000000000000004">
      <c r="C6">
        <v>0.2</v>
      </c>
      <c r="D6" cm="1">
        <f t="array" ref="D6">_xll.PLACKETT($C6,D$3,theta)</f>
        <v>0</v>
      </c>
      <c r="E6" cm="1">
        <f t="array" ref="E6">_xll.PLACKETT($C6,E$3,theta)</f>
        <v>2.855802549583541E-5</v>
      </c>
      <c r="F6" cm="1">
        <f t="array" ref="F6">_xll.PLACKETT($C6,F$3,theta)</f>
        <v>6.6614868249287269E-5</v>
      </c>
      <c r="G6" cm="1">
        <f t="array" ref="G6">_xll.PLACKETT($C6,G$3,theta)</f>
        <v>1.1985144854076157E-4</v>
      </c>
      <c r="H6" cm="1">
        <f t="array" ref="H6">_xll.PLACKETT($C6,H$3,theta)</f>
        <v>1.9960109646253196E-4</v>
      </c>
      <c r="I6" cm="1">
        <f t="array" ref="I6">_xll.PLACKETT($C6,I$3,theta)</f>
        <v>3.3219075375397417E-4</v>
      </c>
      <c r="J6" cm="1">
        <f t="array" ref="J6">_xll.PLACKETT($C6,J$3,theta)</f>
        <v>5.9584325619141225E-4</v>
      </c>
      <c r="K6" cm="1">
        <f t="array" ref="K6">_xll.PLACKETT($C6,K$3,theta)</f>
        <v>1.3689576703845251E-3</v>
      </c>
      <c r="L6" cm="1">
        <f t="array" ref="L6">_xll.PLACKETT($C6,L$3,theta)</f>
        <v>1.2164832535435091E-2</v>
      </c>
      <c r="M6" cm="1">
        <f t="array" ref="M6">_xll.PLACKETT($C6,M$3,theta)</f>
        <v>0.1007867360294699</v>
      </c>
      <c r="N6" cm="1">
        <f t="array" ref="N6">_xll.PLACKETT($C6,N$3,theta)</f>
        <v>0.19999999999999987</v>
      </c>
    </row>
    <row r="7" spans="2:16" x14ac:dyDescent="0.55000000000000004">
      <c r="C7">
        <v>0.3</v>
      </c>
      <c r="D7" cm="1">
        <f t="array" ref="D7">_xll.PLACKETT($C7,D$3,theta)</f>
        <v>0</v>
      </c>
      <c r="E7" cm="1">
        <f t="array" ref="E7">_xll.PLACKETT($C7,E$3,theta)</f>
        <v>4.996253537858119E-5</v>
      </c>
      <c r="F7" cm="1">
        <f t="array" ref="F7">_xll.PLACKETT($C7,F$3,theta)</f>
        <v>1.1985144854076157E-4</v>
      </c>
      <c r="G7" cm="1">
        <f t="array" ref="G7">_xll.PLACKETT($C7,G$3,theta)</f>
        <v>2.2453727765333505E-4</v>
      </c>
      <c r="H7" cm="1">
        <f t="array" ref="H7">_xll.PLACKETT($C7,H$3,theta)</f>
        <v>3.9854114993964298E-4</v>
      </c>
      <c r="I7" cm="1">
        <f t="array" ref="I7">_xll.PLACKETT($C7,I$3,theta)</f>
        <v>7.4425615880137548E-4</v>
      </c>
      <c r="J7" cm="1">
        <f t="array" ref="J7">_xll.PLACKETT($C7,J$3,theta)</f>
        <v>1.7535015565786393E-3</v>
      </c>
      <c r="K7" cm="1">
        <f t="array" ref="K7">_xll.PLACKETT($C7,K$3,theta)</f>
        <v>1.400676357516902E-2</v>
      </c>
      <c r="L7" cm="1">
        <f t="array" ref="L7">_xll.PLACKETT($C7,L$3,theta)</f>
        <v>0.10136895767038451</v>
      </c>
      <c r="M7" cm="1">
        <f t="array" ref="M7">_xll.PLACKETT($C7,M$3,theta)</f>
        <v>0.20034800306262207</v>
      </c>
      <c r="N7" cm="1">
        <f t="array" ref="N7">_xll.PLACKETT($C7,N$3,theta)</f>
        <v>0.3</v>
      </c>
    </row>
    <row r="8" spans="2:16" x14ac:dyDescent="0.55000000000000004">
      <c r="C8">
        <v>0.4</v>
      </c>
      <c r="D8" cm="1">
        <f t="array" ref="D8">_xll.PLACKETT($C8,D$3,theta)</f>
        <v>0</v>
      </c>
      <c r="E8" cm="1">
        <f t="array" ref="E8">_xll.PLACKETT($C8,E$3,theta)</f>
        <v>7.9907335070894417E-5</v>
      </c>
      <c r="F8" cm="1">
        <f t="array" ref="F8">_xll.PLACKETT($C8,F$3,theta)</f>
        <v>1.9960109646253196E-4</v>
      </c>
      <c r="G8" cm="1">
        <f t="array" ref="G8">_xll.PLACKETT($C8,G$3,theta)</f>
        <v>3.9854114993964298E-4</v>
      </c>
      <c r="H8" cm="1">
        <f t="array" ref="H8">_xll.PLACKETT($C8,H$3,theta)</f>
        <v>7.9367880419232983E-4</v>
      </c>
      <c r="I8" cm="1">
        <f t="array" ref="I8">_xll.PLACKETT($C8,I$3,theta)</f>
        <v>1.9447161641415842E-3</v>
      </c>
      <c r="J8" cm="1">
        <f t="array" ref="J8">_xll.PLACKETT($C8,J$3,theta)</f>
        <v>1.5007263393473431E-2</v>
      </c>
      <c r="K8" cm="1">
        <f t="array" ref="K8">_xll.PLACKETT($C8,K$3,theta)</f>
        <v>0.10175350155657864</v>
      </c>
      <c r="L8" cm="1">
        <f t="array" ref="L8">_xll.PLACKETT($C8,L$3,theta)</f>
        <v>0.20059584325619148</v>
      </c>
      <c r="M8" cm="1">
        <f t="array" ref="M8">_xll.PLACKETT($C8,M$3,theta)</f>
        <v>0.30019940232282982</v>
      </c>
      <c r="N8" cm="1">
        <f t="array" ref="N8">_xll.PLACKETT($C8,N$3,theta)</f>
        <v>0.39999999999999986</v>
      </c>
    </row>
    <row r="9" spans="2:16" x14ac:dyDescent="0.55000000000000004">
      <c r="C9">
        <v>0.5</v>
      </c>
      <c r="D9" cm="1">
        <f t="array" ref="D9">_xll.PLACKETT($C9,D$3,theta)</f>
        <v>0</v>
      </c>
      <c r="E9" cm="1">
        <f t="array" ref="E9">_xll.PLACKETT($C9,E$3,theta)</f>
        <v>1.2477395663576204E-4</v>
      </c>
      <c r="F9" cm="1">
        <f t="array" ref="F9">_xll.PLACKETT($C9,F$3,theta)</f>
        <v>3.3219075375397417E-4</v>
      </c>
      <c r="G9" cm="1">
        <f t="array" ref="G9">_xll.PLACKETT($C9,G$3,theta)</f>
        <v>7.4425615880137548E-4</v>
      </c>
      <c r="H9" cm="1">
        <f t="array" ref="H9">_xll.PLACKETT($C9,H$3,theta)</f>
        <v>1.9447161641415842E-3</v>
      </c>
      <c r="I9" cm="1">
        <f t="array" ref="I9">_xll.PLACKETT($C9,I$3,theta)</f>
        <v>1.5326715015857754E-2</v>
      </c>
      <c r="J9" cm="1">
        <f t="array" ref="J9">_xll.PLACKETT($C9,J$3,theta)</f>
        <v>0.10194471616414158</v>
      </c>
      <c r="K9" cm="1">
        <f t="array" ref="K9">_xll.PLACKETT($C9,K$3,theta)</f>
        <v>0.20074425615880123</v>
      </c>
      <c r="L9" cm="1">
        <f t="array" ref="L9">_xll.PLACKETT($C9,L$3,theta)</f>
        <v>0.30033219075375395</v>
      </c>
      <c r="M9" cm="1">
        <f t="array" ref="M9">_xll.PLACKETT($C9,M$3,theta)</f>
        <v>0.40012477395663559</v>
      </c>
      <c r="N9" cm="1">
        <f t="array" ref="N9">_xll.PLACKETT($C9,N$3,theta)</f>
        <v>0.49999999999999994</v>
      </c>
    </row>
    <row r="10" spans="2:16" x14ac:dyDescent="0.55000000000000004">
      <c r="C10">
        <v>0.6</v>
      </c>
      <c r="D10" cm="1">
        <f t="array" ref="D10">_xll.PLACKETT($C10,D$3,theta)</f>
        <v>0</v>
      </c>
      <c r="E10" cm="1">
        <f t="array" ref="E10">_xll.PLACKETT($C10,E$3,theta)</f>
        <v>1.9940232282984323E-4</v>
      </c>
      <c r="F10" cm="1">
        <f t="array" ref="F10">_xll.PLACKETT($C10,F$3,theta)</f>
        <v>5.9584325619141225E-4</v>
      </c>
      <c r="G10" cm="1">
        <f t="array" ref="G10">_xll.PLACKETT($C10,G$3,theta)</f>
        <v>1.7535015565786393E-3</v>
      </c>
      <c r="H10" cm="1">
        <f t="array" ref="H10">_xll.PLACKETT($C10,H$3,theta)</f>
        <v>1.5007263393473431E-2</v>
      </c>
      <c r="I10" cm="1">
        <f t="array" ref="I10">_xll.PLACKETT($C10,I$3,theta)</f>
        <v>0.10194471616414158</v>
      </c>
      <c r="J10" cm="1">
        <f t="array" ref="J10">_xll.PLACKETT($C10,J$3,theta)</f>
        <v>0.20079367880419219</v>
      </c>
      <c r="K10" cm="1">
        <f t="array" ref="K10">_xll.PLACKETT($C10,K$3,theta)</f>
        <v>0.30039854114993936</v>
      </c>
      <c r="L10" cm="1">
        <f t="array" ref="L10">_xll.PLACKETT($C10,L$3,theta)</f>
        <v>0.40019960109646235</v>
      </c>
      <c r="M10" cm="1">
        <f t="array" ref="M10">_xll.PLACKETT($C10,M$3,theta)</f>
        <v>0.50007990733507079</v>
      </c>
      <c r="N10" cm="1">
        <f t="array" ref="N10">_xll.PLACKETT($C10,N$3,theta)</f>
        <v>0.60000000000000009</v>
      </c>
    </row>
    <row r="11" spans="2:16" x14ac:dyDescent="0.55000000000000004">
      <c r="C11">
        <v>0.7</v>
      </c>
      <c r="D11" cm="1">
        <f t="array" ref="D11">_xll.PLACKETT($C11,D$3,theta)</f>
        <v>0</v>
      </c>
      <c r="E11" cm="1">
        <f t="array" ref="E11">_xll.PLACKETT($C11,E$3,theta)</f>
        <v>3.4800306262219009E-4</v>
      </c>
      <c r="F11" cm="1">
        <f t="array" ref="F11">_xll.PLACKETT($C11,F$3,theta)</f>
        <v>1.3689576703845251E-3</v>
      </c>
      <c r="G11" cm="1">
        <f t="array" ref="G11">_xll.PLACKETT($C11,G$3,theta)</f>
        <v>1.400676357516902E-2</v>
      </c>
      <c r="H11" cm="1">
        <f t="array" ref="H11">_xll.PLACKETT($C11,H$3,theta)</f>
        <v>0.10175350155657864</v>
      </c>
      <c r="I11" cm="1">
        <f t="array" ref="I11">_xll.PLACKETT($C11,I$3,theta)</f>
        <v>0.20074425615880123</v>
      </c>
      <c r="J11" cm="1">
        <f t="array" ref="J11">_xll.PLACKETT($C11,J$3,theta)</f>
        <v>0.30039854114993936</v>
      </c>
      <c r="K11" cm="1">
        <f t="array" ref="K11">_xll.PLACKETT($C11,K$3,theta)</f>
        <v>0.40022453727765323</v>
      </c>
      <c r="L11" cm="1">
        <f t="array" ref="L11">_xll.PLACKETT($C11,L$3,theta)</f>
        <v>0.50011985144854065</v>
      </c>
      <c r="M11" cm="1">
        <f t="array" ref="M11">_xll.PLACKETT($C11,M$3,theta)</f>
        <v>0.60004996253537857</v>
      </c>
      <c r="N11" cm="1">
        <f t="array" ref="N11">_xll.PLACKETT($C11,N$3,theta)</f>
        <v>0.7</v>
      </c>
    </row>
    <row r="12" spans="2:16" x14ac:dyDescent="0.55000000000000004">
      <c r="C12">
        <v>0.8</v>
      </c>
      <c r="D12" cm="1">
        <f t="array" ref="D12">_xll.PLACKETT($C12,D$3,theta)</f>
        <v>0</v>
      </c>
      <c r="E12" cm="1">
        <f t="array" ref="E12">_xll.PLACKETT($C12,E$3,theta)</f>
        <v>7.867360294699096E-4</v>
      </c>
      <c r="F12" cm="1">
        <f t="array" ref="F12">_xll.PLACKETT($C12,F$3,theta)</f>
        <v>1.2164832535435091E-2</v>
      </c>
      <c r="G12" cm="1">
        <f t="array" ref="G12">_xll.PLACKETT($C12,G$3,theta)</f>
        <v>0.10136895767038451</v>
      </c>
      <c r="H12" cm="1">
        <f t="array" ref="H12">_xll.PLACKETT($C12,H$3,theta)</f>
        <v>0.20059584325619148</v>
      </c>
      <c r="I12" cm="1">
        <f t="array" ref="I12">_xll.PLACKETT($C12,I$3,theta)</f>
        <v>0.30033219075375395</v>
      </c>
      <c r="J12" cm="1">
        <f t="array" ref="J12">_xll.PLACKETT($C12,J$3,theta)</f>
        <v>0.40019960109646235</v>
      </c>
      <c r="K12" cm="1">
        <f t="array" ref="K12">_xll.PLACKETT($C12,K$3,theta)</f>
        <v>0.50011985144854065</v>
      </c>
      <c r="L12" cm="1">
        <f t="array" ref="L12">_xll.PLACKETT($C12,L$3,theta)</f>
        <v>0.6000666148682493</v>
      </c>
      <c r="M12" cm="1">
        <f t="array" ref="M12">_xll.PLACKETT($C12,M$3,theta)</f>
        <v>0.70002855802549602</v>
      </c>
      <c r="N12" cm="1">
        <f t="array" ref="N12">_xll.PLACKETT($C12,N$3,theta)</f>
        <v>0.8</v>
      </c>
    </row>
    <row r="13" spans="2:16" x14ac:dyDescent="0.55000000000000004">
      <c r="C13">
        <v>0.9</v>
      </c>
      <c r="D13" cm="1">
        <f t="array" ref="D13">_xll.PLACKETT($C13,D$3,theta)</f>
        <v>0</v>
      </c>
      <c r="E13" cm="1">
        <f t="array" ref="E13">_xll.PLACKETT($C13,E$3,theta)</f>
        <v>9.0042662426179938E-3</v>
      </c>
      <c r="F13" cm="1">
        <f t="array" ref="F13">_xll.PLACKETT($C13,F$3,theta)</f>
        <v>0.1007867360294699</v>
      </c>
      <c r="G13" cm="1">
        <f t="array" ref="G13">_xll.PLACKETT($C13,G$3,theta)</f>
        <v>0.20034800306262207</v>
      </c>
      <c r="H13" cm="1">
        <f t="array" ref="H13">_xll.PLACKETT($C13,H$3,theta)</f>
        <v>0.30019940232282982</v>
      </c>
      <c r="I13" cm="1">
        <f t="array" ref="I13">_xll.PLACKETT($C13,I$3,theta)</f>
        <v>0.40012477395663559</v>
      </c>
      <c r="J13" cm="1">
        <f t="array" ref="J13">_xll.PLACKETT($C13,J$3,theta)</f>
        <v>0.50007990733507079</v>
      </c>
      <c r="K13" cm="1">
        <f t="array" ref="K13">_xll.PLACKETT($C13,K$3,theta)</f>
        <v>0.60004996253537857</v>
      </c>
      <c r="L13" cm="1">
        <f t="array" ref="L13">_xll.PLACKETT($C13,L$3,theta)</f>
        <v>0.70002855802549602</v>
      </c>
      <c r="M13" cm="1">
        <f t="array" ref="M13">_xll.PLACKETT($C13,M$3,theta)</f>
        <v>0.8000124966808162</v>
      </c>
      <c r="N13" cm="1">
        <f t="array" ref="N13">_xll.PLACKETT($C13,N$3,theta)</f>
        <v>0.89999999999999991</v>
      </c>
    </row>
    <row r="14" spans="2:16" x14ac:dyDescent="0.55000000000000004">
      <c r="C14">
        <v>1</v>
      </c>
      <c r="D14" cm="1">
        <f t="array" ref="D14">_xll.PLACKETT($C14,D$3,theta)</f>
        <v>0</v>
      </c>
      <c r="E14" cm="1">
        <f t="array" ref="E14">_xll.PLACKETT($C14,E$3,theta)</f>
        <v>9.9999999999999992E-2</v>
      </c>
      <c r="F14" cm="1">
        <f t="array" ref="F14">_xll.PLACKETT($C14,F$3,theta)</f>
        <v>0.19999999999999987</v>
      </c>
      <c r="G14" cm="1">
        <f t="array" ref="G14">_xll.PLACKETT($C14,G$3,theta)</f>
        <v>0.3</v>
      </c>
      <c r="H14" cm="1">
        <f t="array" ref="H14">_xll.PLACKETT($C14,H$3,theta)</f>
        <v>0.39999999999999986</v>
      </c>
      <c r="I14" cm="1">
        <f t="array" ref="I14">_xll.PLACKETT($C14,I$3,theta)</f>
        <v>0.49999999999999994</v>
      </c>
      <c r="J14" cm="1">
        <f t="array" ref="J14">_xll.PLACKETT($C14,J$3,theta)</f>
        <v>0.60000000000000009</v>
      </c>
      <c r="K14" cm="1">
        <f t="array" ref="K14">_xll.PLACKETT($C14,K$3,theta)</f>
        <v>0.7</v>
      </c>
      <c r="L14" cm="1">
        <f t="array" ref="L14">_xll.PLACKETT($C14,L$3,theta)</f>
        <v>0.8</v>
      </c>
      <c r="M14" cm="1">
        <f t="array" ref="M14">_xll.PLACKETT($C14,M$3,theta)</f>
        <v>0.89999999999999991</v>
      </c>
      <c r="N14" cm="1">
        <f t="array" ref="N14">_xll.PLACKETT($C14,N$3,theta)</f>
        <v>1</v>
      </c>
    </row>
    <row r="16" spans="2:16" x14ac:dyDescent="0.55000000000000004">
      <c r="D16">
        <v>0</v>
      </c>
      <c r="E16">
        <v>0.1</v>
      </c>
      <c r="F16">
        <v>0.2</v>
      </c>
      <c r="G16">
        <v>0.3</v>
      </c>
      <c r="H16">
        <v>0.4</v>
      </c>
      <c r="I16">
        <v>0.5</v>
      </c>
      <c r="J16">
        <v>0.6</v>
      </c>
      <c r="K16">
        <v>0.7</v>
      </c>
      <c r="L16">
        <v>0.8</v>
      </c>
      <c r="M16">
        <v>0.9</v>
      </c>
      <c r="N16">
        <v>1</v>
      </c>
      <c r="P16">
        <f>SUM(M17:M27)/11</f>
        <v>2.4381778898280388</v>
      </c>
    </row>
    <row r="17" spans="3:14" x14ac:dyDescent="0.55000000000000004">
      <c r="C17">
        <v>0</v>
      </c>
      <c r="D17" cm="1">
        <f t="array" ref="D17">_xll.PLACKETT.UV($C17,D$3,theta)</f>
        <v>1E-3</v>
      </c>
      <c r="E17" cm="1">
        <f t="array" ref="E17">_xll.PLACKETT.UV($C17,E$3,theta)</f>
        <v>1.2342935985300352E-3</v>
      </c>
      <c r="F17" cm="1">
        <f t="array" ref="F17">_xll.PLACKETT.UV($C17,F$3,theta)</f>
        <v>1.5617190428711242E-3</v>
      </c>
      <c r="G17" cm="1">
        <f t="array" ref="G17">_xll.PLACKETT.UV($C17,G$3,theta)</f>
        <v>2.0390681792827859E-3</v>
      </c>
      <c r="H17" cm="1">
        <f t="array" ref="H17">_xll.PLACKETT.UV($C17,H$3,theta)</f>
        <v>2.7740777744883374E-3</v>
      </c>
      <c r="I17" cm="1">
        <f t="array" ref="I17">_xll.PLACKETT.UV($C17,I$3,theta)</f>
        <v>3.9920119840199777E-3</v>
      </c>
      <c r="J17" cm="1">
        <f t="array" ref="J17">_xll.PLACKETT.UV($C17,J$3,theta)</f>
        <v>6.2312921032829172E-3</v>
      </c>
      <c r="K17" cm="1">
        <f t="array" ref="K17">_xll.PLACKETT.UV($C17,K$3,theta)</f>
        <v>1.105944017777386E-2</v>
      </c>
      <c r="L17" cm="1">
        <f t="array" ref="L17">_xll.PLACKETT.UV($C17,L$3,theta)</f>
        <v>2.4801193631847115E-2</v>
      </c>
      <c r="M17" cm="1">
        <f t="array" ref="M17">_xll.PLACKETT.UV($C17,M$3,theta)</f>
        <v>9.8224011645438827E-2</v>
      </c>
      <c r="N17" cm="1">
        <f t="array" ref="N17">_xll.PLACKETT.UV($C17,N$3,theta)</f>
        <v>999.99999999999829</v>
      </c>
    </row>
    <row r="18" spans="3:14" x14ac:dyDescent="0.55000000000000004">
      <c r="C18">
        <v>0.1</v>
      </c>
      <c r="D18" cm="1">
        <f t="array" ref="D18">_xll.PLACKETT.UV($C18,D$3,theta)</f>
        <v>1.2342935985300352E-3</v>
      </c>
      <c r="E18" cm="1">
        <f t="array" ref="E18">_xll.PLACKETT.UV($C18,E$3,theta)</f>
        <v>1.6005633972407799E-3</v>
      </c>
      <c r="F18" cm="1">
        <f t="array" ref="F18">_xll.PLACKETT.UV($C18,F$3,theta)</f>
        <v>2.1548932066352512E-3</v>
      </c>
      <c r="G18" cm="1">
        <f t="array" ref="G18">_xll.PLACKETT.UV($C18,G$3,theta)</f>
        <v>3.0495021897984347E-3</v>
      </c>
      <c r="H18" cm="1">
        <f t="array" ref="H18">_xll.PLACKETT.UV($C18,H$3,theta)</f>
        <v>4.6250302965488033E-3</v>
      </c>
      <c r="I18" cm="1">
        <f t="array" ref="I18">_xll.PLACKETT.UV($C18,I$3,theta)</f>
        <v>7.7707099460882492E-3</v>
      </c>
      <c r="J18" cm="1">
        <f t="array" ref="J18">_xll.PLACKETT.UV($C18,J$3,theta)</f>
        <v>1.5407183256802326E-2</v>
      </c>
      <c r="K18" cm="1">
        <f t="array" ref="K18">_xll.PLACKETT.UV($C18,K$3,theta)</f>
        <v>4.1641495228951074E-2</v>
      </c>
      <c r="L18" cm="1">
        <f t="array" ref="L18">_xll.PLACKETT.UV($C18,L$3,theta)</f>
        <v>0.24232226107297336</v>
      </c>
      <c r="M18" cm="1">
        <f t="array" ref="M18">_xll.PLACKETT.UV($C18,M$3,theta)</f>
        <v>26.401926844269422</v>
      </c>
      <c r="N18" cm="1">
        <f t="array" ref="N18">_xll.PLACKETT.UV($C18,N$3,theta)</f>
        <v>9.8224011645438758E-2</v>
      </c>
    </row>
    <row r="19" spans="3:14" x14ac:dyDescent="0.55000000000000004">
      <c r="C19">
        <v>0.2</v>
      </c>
      <c r="D19" cm="1">
        <f t="array" ref="D19">_xll.PLACKETT.UV($C19,D$3,theta)</f>
        <v>1.5617190428711242E-3</v>
      </c>
      <c r="E19" cm="1">
        <f t="array" ref="E19">_xll.PLACKETT.UV($C19,E$3,theta)</f>
        <v>2.1548932066352512E-3</v>
      </c>
      <c r="F19" cm="1">
        <f t="array" ref="F19">_xll.PLACKETT.UV($C19,F$3,theta)</f>
        <v>3.141249243121604E-3</v>
      </c>
      <c r="G19" cm="1">
        <f t="array" ref="G19">_xll.PLACKETT.UV($C19,G$3,theta)</f>
        <v>4.9410850590055049E-3</v>
      </c>
      <c r="H19" cm="1">
        <f t="array" ref="H19">_xll.PLACKETT.UV($C19,H$3,theta)</f>
        <v>8.6916032918170089E-3</v>
      </c>
      <c r="I19" cm="1">
        <f t="array" ref="I19">_xll.PLACKETT.UV($C19,I$3,theta)</f>
        <v>1.828652524625822E-2</v>
      </c>
      <c r="J19" cm="1">
        <f t="array" ref="J19">_xll.PLACKETT.UV($C19,J$3,theta)</f>
        <v>5.3457945533076284E-2</v>
      </c>
      <c r="K19" cm="1">
        <f t="array" ref="K19">_xll.PLACKETT.UV($C19,K$3,theta)</f>
        <v>0.34195583529660456</v>
      </c>
      <c r="L19" cm="1">
        <f t="array" ref="L19">_xll.PLACKETT.UV($C19,L$3,theta)</f>
        <v>19.789534608545942</v>
      </c>
      <c r="M19" cm="1">
        <f t="array" ref="M19">_xll.PLACKETT.UV($C19,M$3,theta)</f>
        <v>0.24232226107297336</v>
      </c>
      <c r="N19" cm="1">
        <f t="array" ref="N19">_xll.PLACKETT.UV($C19,N$3,theta)</f>
        <v>2.4801193631847174E-2</v>
      </c>
    </row>
    <row r="20" spans="3:14" x14ac:dyDescent="0.55000000000000004">
      <c r="C20">
        <v>0.3</v>
      </c>
      <c r="D20" cm="1">
        <f t="array" ref="D20">_xll.PLACKETT.UV($C20,D$3,theta)</f>
        <v>2.0390681792827859E-3</v>
      </c>
      <c r="E20" cm="1">
        <f t="array" ref="E20">_xll.PLACKETT.UV($C20,E$3,theta)</f>
        <v>3.0495021897984347E-3</v>
      </c>
      <c r="F20" cm="1">
        <f t="array" ref="F20">_xll.PLACKETT.UV($C20,F$3,theta)</f>
        <v>4.9410850590055049E-3</v>
      </c>
      <c r="G20" cm="1">
        <f t="array" ref="G20">_xll.PLACKETT.UV($C20,G$3,theta)</f>
        <v>8.9981094652824591E-3</v>
      </c>
      <c r="H20" cm="1">
        <f t="array" ref="H20">_xll.PLACKETT.UV($C20,H$3,theta)</f>
        <v>1.9720488121697521E-2</v>
      </c>
      <c r="I20" cm="1">
        <f t="array" ref="I20">_xll.PLACKETT.UV($C20,I$3,theta)</f>
        <v>6.0464436173095923E-2</v>
      </c>
      <c r="J20" cm="1">
        <f t="array" ref="J20">_xll.PLACKETT.UV($C20,J$3,theta)</f>
        <v>0.40468977437845532</v>
      </c>
      <c r="K20" cm="1">
        <f t="array" ref="K20">_xll.PLACKETT.UV($C20,K$3,theta)</f>
        <v>17.270528003950261</v>
      </c>
      <c r="L20" cm="1">
        <f t="array" ref="L20">_xll.PLACKETT.UV($C20,L$3,theta)</f>
        <v>0.3419558352966055</v>
      </c>
      <c r="M20" cm="1">
        <f t="array" ref="M20">_xll.PLACKETT.UV($C20,M$3,theta)</f>
        <v>4.1641495228951206E-2</v>
      </c>
      <c r="N20" cm="1">
        <f t="array" ref="N20">_xll.PLACKETT.UV($C20,N$3,theta)</f>
        <v>1.1059440177773869E-2</v>
      </c>
    </row>
    <row r="21" spans="3:14" x14ac:dyDescent="0.55000000000000004">
      <c r="C21">
        <v>0.4</v>
      </c>
      <c r="D21" cm="1">
        <f t="array" ref="D21">_xll.PLACKETT.UV($C21,D$3,theta)</f>
        <v>2.7740777744883374E-3</v>
      </c>
      <c r="E21" cm="1">
        <f t="array" ref="E21">_xll.PLACKETT.UV($C21,E$3,theta)</f>
        <v>4.6250302965488033E-3</v>
      </c>
      <c r="F21" cm="1">
        <f t="array" ref="F21">_xll.PLACKETT.UV($C21,F$3,theta)</f>
        <v>8.6916032918170089E-3</v>
      </c>
      <c r="G21" cm="1">
        <f t="array" ref="G21">_xll.PLACKETT.UV($C21,G$3,theta)</f>
        <v>1.9720488121697521E-2</v>
      </c>
      <c r="H21" cm="1">
        <f t="array" ref="H21">_xll.PLACKETT.UV($C21,H$3,theta)</f>
        <v>6.2786189138963278E-2</v>
      </c>
      <c r="I21" cm="1">
        <f t="array" ref="I21">_xll.PLACKETT.UV($C21,I$3,theta)</f>
        <v>0.43501073894100922</v>
      </c>
      <c r="J21" cm="1">
        <f t="array" ref="J21">_xll.PLACKETT.UV($C21,J$3,theta)</f>
        <v>16.153903196224309</v>
      </c>
      <c r="K21" cm="1">
        <f t="array" ref="K21">_xll.PLACKETT.UV($C21,K$3,theta)</f>
        <v>0.40468977437845638</v>
      </c>
      <c r="L21" cm="1">
        <f t="array" ref="L21">_xll.PLACKETT.UV($C21,L$3,theta)</f>
        <v>5.3457945533076208E-2</v>
      </c>
      <c r="M21" cm="1">
        <f t="array" ref="M21">_xll.PLACKETT.UV($C21,M$3,theta)</f>
        <v>1.5407183256802345E-2</v>
      </c>
      <c r="N21" cm="1">
        <f t="array" ref="N21">_xll.PLACKETT.UV($C21,N$3,theta)</f>
        <v>6.2312921032829285E-3</v>
      </c>
    </row>
    <row r="22" spans="3:14" x14ac:dyDescent="0.55000000000000004">
      <c r="C22">
        <v>0.5</v>
      </c>
      <c r="D22" cm="1">
        <f t="array" ref="D22">_xll.PLACKETT.UV($C22,D$3,theta)</f>
        <v>3.9920119840199777E-3</v>
      </c>
      <c r="E22" cm="1">
        <f t="array" ref="E22">_xll.PLACKETT.UV($C22,E$3,theta)</f>
        <v>7.7707099460882492E-3</v>
      </c>
      <c r="F22" cm="1">
        <f t="array" ref="F22">_xll.PLACKETT.UV($C22,F$3,theta)</f>
        <v>1.828652524625822E-2</v>
      </c>
      <c r="G22" cm="1">
        <f t="array" ref="G22">_xll.PLACKETT.UV($C22,G$3,theta)</f>
        <v>6.0464436173095923E-2</v>
      </c>
      <c r="H22" cm="1">
        <f t="array" ref="H22">_xll.PLACKETT.UV($C22,H$3,theta)</f>
        <v>0.43501073894100922</v>
      </c>
      <c r="I22" cm="1">
        <f t="array" ref="I22">_xll.PLACKETT.UV($C22,I$3,theta)</f>
        <v>15.827199689142736</v>
      </c>
      <c r="J22" cm="1">
        <f t="array" ref="J22">_xll.PLACKETT.UV($C22,J$3,theta)</f>
        <v>0.43501073894100939</v>
      </c>
      <c r="K22" cm="1">
        <f t="array" ref="K22">_xll.PLACKETT.UV($C22,K$3,theta)</f>
        <v>6.0464436173096006E-2</v>
      </c>
      <c r="L22" cm="1">
        <f t="array" ref="L22">_xll.PLACKETT.UV($C22,L$3,theta)</f>
        <v>1.8286525246258237E-2</v>
      </c>
      <c r="M22" cm="1">
        <f t="array" ref="M22">_xll.PLACKETT.UV($C22,M$3,theta)</f>
        <v>7.7707099460882639E-3</v>
      </c>
      <c r="N22" cm="1">
        <f t="array" ref="N22">_xll.PLACKETT.UV($C22,N$3,theta)</f>
        <v>3.9920119840199759E-3</v>
      </c>
    </row>
    <row r="23" spans="3:14" x14ac:dyDescent="0.55000000000000004">
      <c r="C23">
        <v>0.6</v>
      </c>
      <c r="D23" cm="1">
        <f t="array" ref="D23">_xll.PLACKETT.UV($C23,D$3,theta)</f>
        <v>6.2312921032829172E-3</v>
      </c>
      <c r="E23" cm="1">
        <f t="array" ref="E23">_xll.PLACKETT.UV($C23,E$3,theta)</f>
        <v>1.5407183256802326E-2</v>
      </c>
      <c r="F23" cm="1">
        <f t="array" ref="F23">_xll.PLACKETT.UV($C23,F$3,theta)</f>
        <v>5.3457945533076284E-2</v>
      </c>
      <c r="G23" cm="1">
        <f t="array" ref="G23">_xll.PLACKETT.UV($C23,G$3,theta)</f>
        <v>0.40468977437845532</v>
      </c>
      <c r="H23" cm="1">
        <f t="array" ref="H23">_xll.PLACKETT.UV($C23,H$3,theta)</f>
        <v>16.153903196224309</v>
      </c>
      <c r="I23" cm="1">
        <f t="array" ref="I23">_xll.PLACKETT.UV($C23,I$3,theta)</f>
        <v>0.43501073894100939</v>
      </c>
      <c r="J23" cm="1">
        <f t="array" ref="J23">_xll.PLACKETT.UV($C23,J$3,theta)</f>
        <v>6.2786189138963375E-2</v>
      </c>
      <c r="K23" cm="1">
        <f t="array" ref="K23">_xll.PLACKETT.UV($C23,K$3,theta)</f>
        <v>1.9720488121697591E-2</v>
      </c>
      <c r="L23" cm="1">
        <f t="array" ref="L23">_xll.PLACKETT.UV($C23,L$3,theta)</f>
        <v>8.6916032918170176E-3</v>
      </c>
      <c r="M23" cm="1">
        <f t="array" ref="M23">_xll.PLACKETT.UV($C23,M$3,theta)</f>
        <v>4.6250302965488051E-3</v>
      </c>
      <c r="N23" cm="1">
        <f t="array" ref="N23">_xll.PLACKETT.UV($C23,N$3,theta)</f>
        <v>2.7740777744883365E-3</v>
      </c>
    </row>
    <row r="24" spans="3:14" x14ac:dyDescent="0.55000000000000004">
      <c r="C24">
        <v>0.7</v>
      </c>
      <c r="D24" cm="1">
        <f t="array" ref="D24">_xll.PLACKETT.UV($C24,D$3,theta)</f>
        <v>1.105944017777386E-2</v>
      </c>
      <c r="E24" cm="1">
        <f t="array" ref="E24">_xll.PLACKETT.UV($C24,E$3,theta)</f>
        <v>4.1641495228951074E-2</v>
      </c>
      <c r="F24" cm="1">
        <f t="array" ref="F24">_xll.PLACKETT.UV($C24,F$3,theta)</f>
        <v>0.34195583529660456</v>
      </c>
      <c r="G24" cm="1">
        <f t="array" ref="G24">_xll.PLACKETT.UV($C24,G$3,theta)</f>
        <v>17.270528003950261</v>
      </c>
      <c r="H24" cm="1">
        <f t="array" ref="H24">_xll.PLACKETT.UV($C24,H$3,theta)</f>
        <v>0.40468977437845638</v>
      </c>
      <c r="I24" cm="1">
        <f t="array" ref="I24">_xll.PLACKETT.UV($C24,I$3,theta)</f>
        <v>6.0464436173096006E-2</v>
      </c>
      <c r="J24" cm="1">
        <f t="array" ref="J24">_xll.PLACKETT.UV($C24,J$3,theta)</f>
        <v>1.9720488121697591E-2</v>
      </c>
      <c r="K24" cm="1">
        <f t="array" ref="K24">_xll.PLACKETT.UV($C24,K$3,theta)</f>
        <v>8.9981094652824747E-3</v>
      </c>
      <c r="L24" cm="1">
        <f t="array" ref="L24">_xll.PLACKETT.UV($C24,L$3,theta)</f>
        <v>4.9410850590055041E-3</v>
      </c>
      <c r="M24" cm="1">
        <f t="array" ref="M24">_xll.PLACKETT.UV($C24,M$3,theta)</f>
        <v>3.0495021897984347E-3</v>
      </c>
      <c r="N24" cm="1">
        <f t="array" ref="N24">_xll.PLACKETT.UV($C24,N$3,theta)</f>
        <v>2.0390681792827863E-3</v>
      </c>
    </row>
    <row r="25" spans="3:14" x14ac:dyDescent="0.55000000000000004">
      <c r="C25">
        <v>0.8</v>
      </c>
      <c r="D25" cm="1">
        <f t="array" ref="D25">_xll.PLACKETT.UV($C25,D$3,theta)</f>
        <v>2.4801193631847115E-2</v>
      </c>
      <c r="E25" cm="1">
        <f t="array" ref="E25">_xll.PLACKETT.UV($C25,E$3,theta)</f>
        <v>0.24232226107297336</v>
      </c>
      <c r="F25" cm="1">
        <f t="array" ref="F25">_xll.PLACKETT.UV($C25,F$3,theta)</f>
        <v>19.789534608545942</v>
      </c>
      <c r="G25" cm="1">
        <f t="array" ref="G25">_xll.PLACKETT.UV($C25,G$3,theta)</f>
        <v>0.3419558352966055</v>
      </c>
      <c r="H25" cm="1">
        <f t="array" ref="H25">_xll.PLACKETT.UV($C25,H$3,theta)</f>
        <v>5.3457945533076208E-2</v>
      </c>
      <c r="I25" cm="1">
        <f t="array" ref="I25">_xll.PLACKETT.UV($C25,I$3,theta)</f>
        <v>1.8286525246258237E-2</v>
      </c>
      <c r="J25" cm="1">
        <f t="array" ref="J25">_xll.PLACKETT.UV($C25,J$3,theta)</f>
        <v>8.6916032918170176E-3</v>
      </c>
      <c r="K25" cm="1">
        <f t="array" ref="K25">_xll.PLACKETT.UV($C25,K$3,theta)</f>
        <v>4.9410850590055041E-3</v>
      </c>
      <c r="L25" cm="1">
        <f t="array" ref="L25">_xll.PLACKETT.UV($C25,L$3,theta)</f>
        <v>3.1412492431216045E-3</v>
      </c>
      <c r="M25" cm="1">
        <f t="array" ref="M25">_xll.PLACKETT.UV($C25,M$3,theta)</f>
        <v>2.1548932066352494E-3</v>
      </c>
      <c r="N25" cm="1">
        <f t="array" ref="N25">_xll.PLACKETT.UV($C25,N$3,theta)</f>
        <v>1.5617190428711244E-3</v>
      </c>
    </row>
    <row r="26" spans="3:14" x14ac:dyDescent="0.55000000000000004">
      <c r="C26">
        <v>0.9</v>
      </c>
      <c r="D26" cm="1">
        <f t="array" ref="D26">_xll.PLACKETT.UV($C26,D$3,theta)</f>
        <v>9.8224011645438827E-2</v>
      </c>
      <c r="E26" cm="1">
        <f t="array" ref="E26">_xll.PLACKETT.UV($C26,E$3,theta)</f>
        <v>26.401926844269422</v>
      </c>
      <c r="F26" cm="1">
        <f t="array" ref="F26">_xll.PLACKETT.UV($C26,F$3,theta)</f>
        <v>0.24232226107297336</v>
      </c>
      <c r="G26" cm="1">
        <f t="array" ref="G26">_xll.PLACKETT.UV($C26,G$3,theta)</f>
        <v>4.1641495228951206E-2</v>
      </c>
      <c r="H26" cm="1">
        <f t="array" ref="H26">_xll.PLACKETT.UV($C26,H$3,theta)</f>
        <v>1.5407183256802345E-2</v>
      </c>
      <c r="I26" cm="1">
        <f t="array" ref="I26">_xll.PLACKETT.UV($C26,I$3,theta)</f>
        <v>7.7707099460882639E-3</v>
      </c>
      <c r="J26" cm="1">
        <f t="array" ref="J26">_xll.PLACKETT.UV($C26,J$3,theta)</f>
        <v>4.6250302965488051E-3</v>
      </c>
      <c r="K26" cm="1">
        <f t="array" ref="K26">_xll.PLACKETT.UV($C26,K$3,theta)</f>
        <v>3.0495021897984347E-3</v>
      </c>
      <c r="L26" cm="1">
        <f t="array" ref="L26">_xll.PLACKETT.UV($C26,L$3,theta)</f>
        <v>2.1548932066352494E-3</v>
      </c>
      <c r="M26" cm="1">
        <f t="array" ref="M26">_xll.PLACKETT.UV($C26,M$3,theta)</f>
        <v>1.6005633972407806E-3</v>
      </c>
      <c r="N26" cm="1">
        <f t="array" ref="N26">_xll.PLACKETT.UV($C26,N$3,theta)</f>
        <v>1.2342935985300359E-3</v>
      </c>
    </row>
    <row r="27" spans="3:14" x14ac:dyDescent="0.55000000000000004">
      <c r="C27">
        <v>1</v>
      </c>
      <c r="D27" cm="1">
        <f t="array" ref="D27">_xll.PLACKETT.UV($C27,D$3,theta)</f>
        <v>999.99999999999829</v>
      </c>
      <c r="E27" cm="1">
        <f t="array" ref="E27">_xll.PLACKETT.UV($C27,E$3,theta)</f>
        <v>9.8224011645438758E-2</v>
      </c>
      <c r="F27" cm="1">
        <f t="array" ref="F27">_xll.PLACKETT.UV($C27,F$3,theta)</f>
        <v>2.4801193631847174E-2</v>
      </c>
      <c r="G27" cm="1">
        <f t="array" ref="G27">_xll.PLACKETT.UV($C27,G$3,theta)</f>
        <v>1.1059440177773869E-2</v>
      </c>
      <c r="H27" cm="1">
        <f t="array" ref="H27">_xll.PLACKETT.UV($C27,H$3,theta)</f>
        <v>6.2312921032829285E-3</v>
      </c>
      <c r="I27" cm="1">
        <f t="array" ref="I27">_xll.PLACKETT.UV($C27,I$3,theta)</f>
        <v>3.9920119840199759E-3</v>
      </c>
      <c r="J27" cm="1">
        <f t="array" ref="J27">_xll.PLACKETT.UV($C27,J$3,theta)</f>
        <v>2.7740777744883365E-3</v>
      </c>
      <c r="K27" cm="1">
        <f t="array" ref="K27">_xll.PLACKETT.UV($C27,K$3,theta)</f>
        <v>2.0390681792827863E-3</v>
      </c>
      <c r="L27" cm="1">
        <f t="array" ref="L27">_xll.PLACKETT.UV($C27,L$3,theta)</f>
        <v>1.5617190428711244E-3</v>
      </c>
      <c r="M27" cm="1">
        <f t="array" ref="M27">_xll.PLACKETT.UV($C27,M$3,theta)</f>
        <v>1.2342935985300359E-3</v>
      </c>
      <c r="N27" cm="1">
        <f t="array" ref="N27">_xll.PLACKETT.UV($C27,N$3,theta)</f>
        <v>1E-3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theta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2026-05-19T01:50:28Z</dcterms:created>
  <dcterms:modified xsi:type="dcterms:W3CDTF">2026-05-19T04:05:34Z</dcterms:modified>
</cp:coreProperties>
</file>